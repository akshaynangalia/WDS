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shay01\Downloads\"/>
    </mc:Choice>
  </mc:AlternateContent>
  <xr:revisionPtr revIDLastSave="0" documentId="13_ncr:1_{F3D680E6-00FF-4ED1-BA88-6BEC275F95F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CCP" sheetId="4" r:id="rId1"/>
    <sheet name="Calendar" sheetId="37" r:id="rId2"/>
  </sheets>
  <calcPr calcId="191029"/>
</workbook>
</file>

<file path=xl/calcChain.xml><?xml version="1.0" encoding="utf-8"?>
<calcChain xmlns="http://schemas.openxmlformats.org/spreadsheetml/2006/main">
  <c r="B210" i="37" l="1"/>
  <c r="A210" i="37"/>
  <c r="A209" i="37"/>
  <c r="B209" i="37" s="1"/>
  <c r="A208" i="37"/>
  <c r="B208" i="37" s="1"/>
  <c r="A207" i="37"/>
  <c r="B207" i="37" s="1"/>
  <c r="B206" i="37"/>
  <c r="A206" i="37"/>
  <c r="A205" i="37"/>
  <c r="B205" i="37" s="1"/>
  <c r="A204" i="37"/>
  <c r="B204" i="37" s="1"/>
  <c r="A203" i="37"/>
  <c r="B203" i="37" s="1"/>
  <c r="B202" i="37"/>
  <c r="A202" i="37"/>
  <c r="A201" i="37"/>
  <c r="B201" i="37" s="1"/>
  <c r="A200" i="37"/>
  <c r="B200" i="37" s="1"/>
  <c r="A199" i="37"/>
  <c r="B199" i="37" s="1"/>
  <c r="B198" i="37"/>
  <c r="A198" i="37"/>
  <c r="A197" i="37"/>
  <c r="B197" i="37" s="1"/>
  <c r="A196" i="37"/>
  <c r="B196" i="37" s="1"/>
  <c r="A195" i="37"/>
  <c r="B195" i="37" s="1"/>
  <c r="B194" i="37"/>
  <c r="A194" i="37"/>
  <c r="A193" i="37"/>
  <c r="B193" i="37" s="1"/>
  <c r="B192" i="37"/>
  <c r="A192" i="37"/>
  <c r="A191" i="37"/>
  <c r="B191" i="37" s="1"/>
  <c r="B190" i="37"/>
  <c r="A190" i="37"/>
  <c r="A189" i="37"/>
  <c r="B189" i="37" s="1"/>
  <c r="B188" i="37"/>
  <c r="A188" i="37"/>
  <c r="A187" i="37"/>
  <c r="B187" i="37" s="1"/>
  <c r="B186" i="37"/>
  <c r="A186" i="37"/>
  <c r="A185" i="37"/>
  <c r="B185" i="37" s="1"/>
  <c r="B184" i="37"/>
  <c r="A184" i="37"/>
  <c r="A183" i="37"/>
  <c r="B183" i="37" s="1"/>
  <c r="B182" i="37"/>
  <c r="A182" i="37"/>
  <c r="A181" i="37"/>
  <c r="B181" i="37" s="1"/>
  <c r="B180" i="37"/>
  <c r="A180" i="37"/>
  <c r="A179" i="37"/>
  <c r="B179" i="37" s="1"/>
  <c r="B178" i="37"/>
  <c r="A178" i="37"/>
  <c r="A177" i="37"/>
  <c r="B177" i="37" s="1"/>
  <c r="B176" i="37"/>
  <c r="A176" i="37"/>
  <c r="A175" i="37"/>
  <c r="B175" i="37" s="1"/>
  <c r="B174" i="37"/>
  <c r="A174" i="37"/>
  <c r="A173" i="37"/>
  <c r="B173" i="37" s="1"/>
  <c r="B172" i="37"/>
  <c r="A172" i="37"/>
  <c r="A171" i="37"/>
  <c r="B171" i="37" s="1"/>
  <c r="B170" i="37"/>
  <c r="A170" i="37"/>
  <c r="A169" i="37"/>
  <c r="B169" i="37" s="1"/>
  <c r="A168" i="37"/>
  <c r="B168" i="37" s="1"/>
  <c r="A167" i="37"/>
  <c r="B167" i="37" s="1"/>
  <c r="A166" i="37"/>
  <c r="B166" i="37" s="1"/>
  <c r="A165" i="37"/>
  <c r="B165" i="37" s="1"/>
  <c r="A164" i="37"/>
  <c r="B164" i="37" s="1"/>
  <c r="A163" i="37"/>
  <c r="B163" i="37" s="1"/>
  <c r="B162" i="37"/>
  <c r="A162" i="37"/>
  <c r="A161" i="37"/>
  <c r="B161" i="37" s="1"/>
  <c r="B160" i="37"/>
  <c r="A160" i="37"/>
  <c r="A159" i="37"/>
  <c r="B159" i="37" s="1"/>
  <c r="B158" i="37"/>
  <c r="A158" i="37"/>
  <c r="A157" i="37"/>
  <c r="B157" i="37" s="1"/>
  <c r="A156" i="37"/>
  <c r="B156" i="37" s="1"/>
  <c r="B155" i="37"/>
  <c r="A155" i="37"/>
  <c r="A154" i="37"/>
  <c r="B154" i="37" s="1"/>
  <c r="B153" i="37"/>
  <c r="A153" i="37"/>
  <c r="A152" i="37"/>
  <c r="B152" i="37" s="1"/>
  <c r="B151" i="37"/>
  <c r="A151" i="37"/>
  <c r="A150" i="37"/>
  <c r="B150" i="37" s="1"/>
  <c r="B149" i="37"/>
  <c r="A149" i="37"/>
  <c r="A148" i="37"/>
  <c r="B148" i="37" s="1"/>
  <c r="B147" i="37"/>
  <c r="A147" i="37"/>
  <c r="A146" i="37"/>
  <c r="B146" i="37" s="1"/>
  <c r="B145" i="37"/>
  <c r="A145" i="37"/>
  <c r="A144" i="37"/>
  <c r="B144" i="37" s="1"/>
  <c r="B143" i="37"/>
  <c r="A143" i="37"/>
  <c r="A142" i="37"/>
  <c r="B142" i="37" s="1"/>
  <c r="B141" i="37"/>
  <c r="A141" i="37"/>
  <c r="A140" i="37"/>
  <c r="B140" i="37" s="1"/>
  <c r="B139" i="37"/>
  <c r="A139" i="37"/>
  <c r="A138" i="37"/>
  <c r="B138" i="37" s="1"/>
  <c r="A137" i="37"/>
  <c r="B137" i="37" s="1"/>
  <c r="A136" i="37"/>
  <c r="B136" i="37" s="1"/>
  <c r="A135" i="37"/>
  <c r="B135" i="37" s="1"/>
  <c r="A134" i="37"/>
  <c r="B134" i="37" s="1"/>
  <c r="A133" i="37"/>
  <c r="B133" i="37" s="1"/>
  <c r="A132" i="37"/>
  <c r="B132" i="37" s="1"/>
  <c r="A131" i="37"/>
  <c r="B131" i="37" s="1"/>
  <c r="A130" i="37"/>
  <c r="B130" i="37" s="1"/>
  <c r="A129" i="37"/>
  <c r="B129" i="37" s="1"/>
  <c r="A128" i="37"/>
  <c r="B128" i="37" s="1"/>
  <c r="A127" i="37"/>
  <c r="B127" i="37" s="1"/>
  <c r="A126" i="37"/>
  <c r="B126" i="37" s="1"/>
  <c r="A125" i="37"/>
  <c r="B125" i="37" s="1"/>
  <c r="A124" i="37"/>
  <c r="B124" i="37" s="1"/>
  <c r="A123" i="37"/>
  <c r="B123" i="37" s="1"/>
  <c r="A122" i="37"/>
  <c r="B122" i="37" s="1"/>
  <c r="A121" i="37"/>
  <c r="B121" i="37" s="1"/>
  <c r="A120" i="37"/>
  <c r="B120" i="37" s="1"/>
  <c r="A119" i="37"/>
  <c r="B119" i="37" s="1"/>
  <c r="A118" i="37"/>
  <c r="B118" i="37" s="1"/>
  <c r="A117" i="37"/>
  <c r="B117" i="37" s="1"/>
  <c r="A116" i="37"/>
  <c r="B116" i="37" s="1"/>
  <c r="A115" i="37"/>
  <c r="B115" i="37" s="1"/>
  <c r="A114" i="37"/>
  <c r="B114" i="37" s="1"/>
  <c r="A113" i="37"/>
  <c r="B113" i="37" s="1"/>
  <c r="A112" i="37"/>
  <c r="B112" i="37" s="1"/>
  <c r="A111" i="37"/>
  <c r="B111" i="37" s="1"/>
  <c r="A110" i="37"/>
  <c r="B110" i="37" s="1"/>
  <c r="A109" i="37"/>
  <c r="B109" i="37" s="1"/>
  <c r="A108" i="37"/>
  <c r="B108" i="37" s="1"/>
  <c r="A107" i="37"/>
  <c r="B107" i="37" s="1"/>
  <c r="A106" i="37"/>
  <c r="B106" i="37" s="1"/>
  <c r="N105" i="37"/>
  <c r="B105" i="37"/>
  <c r="A105" i="37"/>
  <c r="A104" i="37"/>
  <c r="B104" i="37" s="1"/>
  <c r="B103" i="37"/>
  <c r="A103" i="37"/>
  <c r="A102" i="37"/>
  <c r="B102" i="37" s="1"/>
  <c r="Q101" i="37"/>
  <c r="A101" i="37"/>
  <c r="B101" i="37" s="1"/>
  <c r="T100" i="37"/>
  <c r="S100" i="37"/>
  <c r="R100" i="37"/>
  <c r="Q100" i="37"/>
  <c r="P100" i="37"/>
  <c r="O100" i="37"/>
  <c r="N100" i="37"/>
  <c r="M100" i="37"/>
  <c r="L100" i="37"/>
  <c r="B100" i="37"/>
  <c r="A100" i="37"/>
  <c r="T99" i="37"/>
  <c r="S99" i="37"/>
  <c r="R99" i="37"/>
  <c r="Q99" i="37"/>
  <c r="B99" i="37"/>
  <c r="A99" i="37"/>
  <c r="B98" i="37"/>
  <c r="A98" i="37"/>
  <c r="B97" i="37"/>
  <c r="A97" i="37"/>
  <c r="B96" i="37"/>
  <c r="A96" i="37"/>
  <c r="B95" i="37"/>
  <c r="A95" i="37"/>
  <c r="B94" i="37"/>
  <c r="A94" i="37"/>
  <c r="B93" i="37"/>
  <c r="A93" i="37"/>
  <c r="R92" i="37"/>
  <c r="B92" i="37"/>
  <c r="A92" i="37"/>
  <c r="A91" i="37"/>
  <c r="B91" i="37" s="1"/>
  <c r="B90" i="37"/>
  <c r="A90" i="37"/>
  <c r="A89" i="37"/>
  <c r="B89" i="37" s="1"/>
  <c r="B88" i="37"/>
  <c r="A88" i="37"/>
  <c r="A87" i="37"/>
  <c r="B87" i="37" s="1"/>
  <c r="B86" i="37"/>
  <c r="A86" i="37"/>
  <c r="A85" i="37"/>
  <c r="B85" i="37" s="1"/>
  <c r="B84" i="37"/>
  <c r="A84" i="37"/>
  <c r="A83" i="37"/>
  <c r="B83" i="37" s="1"/>
  <c r="B82" i="37"/>
  <c r="A82" i="37"/>
  <c r="A81" i="37"/>
  <c r="B81" i="37" s="1"/>
  <c r="B80" i="37"/>
  <c r="A80" i="37"/>
  <c r="A79" i="37"/>
  <c r="B79" i="37" s="1"/>
  <c r="B78" i="37"/>
  <c r="A78" i="37"/>
  <c r="A77" i="37"/>
  <c r="B77" i="37" s="1"/>
  <c r="B76" i="37"/>
  <c r="A76" i="37"/>
  <c r="A75" i="37"/>
  <c r="B75" i="37" s="1"/>
  <c r="A74" i="37"/>
  <c r="B74" i="37" s="1"/>
  <c r="A73" i="37"/>
  <c r="B73" i="37" s="1"/>
  <c r="A72" i="37"/>
  <c r="B72" i="37" s="1"/>
  <c r="A71" i="37"/>
  <c r="B71" i="37" s="1"/>
  <c r="A70" i="37"/>
  <c r="B70" i="37" s="1"/>
  <c r="A69" i="37"/>
  <c r="B69" i="37" s="1"/>
  <c r="A68" i="37"/>
  <c r="B68" i="37" s="1"/>
  <c r="A67" i="37"/>
  <c r="B67" i="37" s="1"/>
  <c r="A66" i="37"/>
  <c r="B66" i="37" s="1"/>
  <c r="A65" i="37"/>
  <c r="B65" i="37" s="1"/>
  <c r="A64" i="37"/>
  <c r="B64" i="37" s="1"/>
  <c r="A63" i="37"/>
  <c r="B63" i="37" s="1"/>
  <c r="A62" i="37"/>
  <c r="B62" i="37" s="1"/>
  <c r="A61" i="37"/>
  <c r="B61" i="37" s="1"/>
  <c r="A60" i="37"/>
  <c r="B60" i="37" s="1"/>
  <c r="A59" i="37"/>
  <c r="B59" i="37" s="1"/>
  <c r="A58" i="37"/>
  <c r="B58" i="37" s="1"/>
  <c r="A57" i="37"/>
  <c r="B57" i="37" s="1"/>
  <c r="A56" i="37"/>
  <c r="B56" i="37" s="1"/>
  <c r="A55" i="37"/>
  <c r="B55" i="37" s="1"/>
  <c r="A54" i="37"/>
  <c r="B54" i="37" s="1"/>
  <c r="A53" i="37"/>
  <c r="B53" i="37" s="1"/>
  <c r="B52" i="37"/>
  <c r="A52" i="37"/>
  <c r="B51" i="37"/>
  <c r="A51" i="37"/>
  <c r="B50" i="37"/>
  <c r="A50" i="37"/>
  <c r="B49" i="37"/>
  <c r="A49" i="37"/>
  <c r="B48" i="37"/>
  <c r="A48" i="37"/>
  <c r="B47" i="37"/>
  <c r="A47" i="37"/>
  <c r="B46" i="37"/>
  <c r="A46" i="37"/>
  <c r="B45" i="37"/>
  <c r="A45" i="37"/>
  <c r="B44" i="37"/>
  <c r="A44" i="37"/>
  <c r="A43" i="37"/>
  <c r="B43" i="37" s="1"/>
  <c r="A42" i="37"/>
  <c r="B42" i="37" s="1"/>
  <c r="A41" i="37"/>
  <c r="B41" i="37" s="1"/>
  <c r="A40" i="37"/>
  <c r="B40" i="37" s="1"/>
  <c r="A39" i="37"/>
  <c r="B39" i="37" s="1"/>
  <c r="B38" i="37"/>
  <c r="A38" i="37"/>
  <c r="B37" i="37"/>
  <c r="A37" i="37"/>
  <c r="B36" i="37"/>
  <c r="A36" i="37"/>
  <c r="B35" i="37"/>
  <c r="A35" i="37"/>
  <c r="B34" i="37"/>
  <c r="A34" i="37"/>
  <c r="B33" i="37"/>
  <c r="A33" i="37"/>
  <c r="A32" i="37"/>
  <c r="B32" i="37" s="1"/>
  <c r="A31" i="37"/>
  <c r="B31" i="37" s="1"/>
  <c r="A30" i="37"/>
  <c r="B30" i="37" s="1"/>
  <c r="A29" i="37"/>
  <c r="B29" i="37" s="1"/>
  <c r="A28" i="37"/>
  <c r="B28" i="37" s="1"/>
  <c r="B27" i="37"/>
  <c r="A27" i="37"/>
  <c r="B26" i="37"/>
  <c r="A26" i="37"/>
  <c r="B25" i="37"/>
  <c r="A25" i="37"/>
  <c r="B24" i="37"/>
  <c r="A24" i="37"/>
  <c r="A23" i="37"/>
  <c r="B23" i="37" s="1"/>
  <c r="A22" i="37"/>
  <c r="B22" i="37" s="1"/>
  <c r="B21" i="37"/>
  <c r="A21" i="37"/>
  <c r="B20" i="37"/>
  <c r="A20" i="37"/>
  <c r="A19" i="37"/>
  <c r="B19" i="37" s="1"/>
  <c r="I18" i="37"/>
  <c r="H19" i="37" s="1"/>
  <c r="H18" i="37"/>
  <c r="G18" i="37" s="1"/>
  <c r="A18" i="37"/>
  <c r="B18" i="37" s="1"/>
  <c r="J17" i="37"/>
  <c r="K17" i="37" s="1"/>
  <c r="I17" i="37"/>
  <c r="H17" i="37"/>
  <c r="G17" i="37"/>
  <c r="A17" i="37"/>
  <c r="B17" i="37" s="1"/>
  <c r="J16" i="37"/>
  <c r="K16" i="37" s="1"/>
  <c r="I16" i="37"/>
  <c r="G16" i="37"/>
  <c r="A16" i="37"/>
  <c r="B16" i="37" s="1"/>
  <c r="I15" i="37"/>
  <c r="H15" i="37"/>
  <c r="I14" i="37" s="1"/>
  <c r="H14" i="37" s="1"/>
  <c r="A15" i="37"/>
  <c r="B15" i="37" s="1"/>
  <c r="B14" i="37"/>
  <c r="A14" i="37"/>
  <c r="B13" i="37"/>
  <c r="A13" i="37"/>
  <c r="A12" i="37"/>
  <c r="B12" i="37" s="1"/>
  <c r="B11" i="37"/>
  <c r="A11" i="37"/>
  <c r="A10" i="37"/>
  <c r="B10" i="37" s="1"/>
  <c r="A9" i="37"/>
  <c r="B9" i="37" s="1"/>
  <c r="A8" i="37"/>
  <c r="B8" i="37" s="1"/>
  <c r="B7" i="37"/>
  <c r="A7" i="37"/>
  <c r="A6" i="37"/>
  <c r="B6" i="37" s="1"/>
  <c r="B5" i="37"/>
  <c r="A5" i="37"/>
  <c r="A4" i="37"/>
  <c r="B4" i="37" s="1"/>
  <c r="A3" i="37"/>
  <c r="B3" i="37" s="1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DA1" i="4"/>
  <c r="CZ1" i="4"/>
  <c r="CY1" i="4"/>
  <c r="CX1" i="4"/>
  <c r="CW1" i="4"/>
  <c r="CV1" i="4"/>
  <c r="CU1" i="4"/>
  <c r="CT1" i="4"/>
  <c r="CS1" i="4"/>
  <c r="CR1" i="4"/>
  <c r="CQ1" i="4"/>
  <c r="CP1" i="4"/>
  <c r="CO1" i="4"/>
  <c r="CN1" i="4"/>
  <c r="CM1" i="4"/>
  <c r="CL1" i="4"/>
  <c r="CK1" i="4"/>
  <c r="CJ1" i="4"/>
  <c r="CI1" i="4"/>
  <c r="CH1" i="4"/>
  <c r="CG1" i="4"/>
  <c r="CF1" i="4"/>
  <c r="CE1" i="4"/>
  <c r="CD1" i="4"/>
  <c r="CC1" i="4"/>
  <c r="CB1" i="4"/>
  <c r="CA1" i="4"/>
  <c r="BZ1" i="4"/>
  <c r="BY1" i="4"/>
  <c r="BX1" i="4"/>
  <c r="BW1" i="4"/>
  <c r="BV1" i="4"/>
  <c r="BU1" i="4"/>
  <c r="BT1" i="4"/>
  <c r="BS1" i="4"/>
  <c r="BR1" i="4"/>
  <c r="BQ1" i="4"/>
  <c r="BP1" i="4"/>
  <c r="BO1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9" i="37" l="1"/>
  <c r="H20" i="37" s="1"/>
  <c r="G19" i="37"/>
  <c r="J14" i="37"/>
  <c r="K14" i="37" s="1"/>
  <c r="G14" i="37"/>
  <c r="I13" i="37"/>
  <c r="H13" i="37" s="1"/>
  <c r="J18" i="37"/>
  <c r="K18" i="37" s="1"/>
  <c r="G15" i="37"/>
  <c r="J15" i="37"/>
  <c r="K15" i="37" s="1"/>
  <c r="J13" i="37" l="1"/>
  <c r="K13" i="37" s="1"/>
  <c r="I12" i="37"/>
  <c r="H12" i="37" s="1"/>
  <c r="G13" i="37"/>
  <c r="I20" i="37"/>
  <c r="H21" i="37" s="1"/>
  <c r="G20" i="37"/>
  <c r="J19" i="37"/>
  <c r="K19" i="37" s="1"/>
  <c r="I21" i="37" l="1"/>
  <c r="H22" i="37" s="1"/>
  <c r="G21" i="37"/>
  <c r="J20" i="37"/>
  <c r="K20" i="37" s="1"/>
  <c r="J12" i="37"/>
  <c r="K12" i="37" s="1"/>
  <c r="G12" i="37"/>
  <c r="I11" i="37"/>
  <c r="H11" i="37" s="1"/>
  <c r="G11" i="37" l="1"/>
  <c r="I10" i="37"/>
  <c r="H10" i="37" s="1"/>
  <c r="J11" i="37"/>
  <c r="K11" i="37" s="1"/>
  <c r="I22" i="37"/>
  <c r="H23" i="37" s="1"/>
  <c r="G22" i="37"/>
  <c r="J21" i="37"/>
  <c r="K21" i="37" s="1"/>
  <c r="G23" i="37" l="1"/>
  <c r="I23" i="37"/>
  <c r="H24" i="37" s="1"/>
  <c r="J22" i="37"/>
  <c r="K22" i="37" s="1"/>
  <c r="I9" i="37"/>
  <c r="H9" i="37" s="1"/>
  <c r="G10" i="37"/>
  <c r="J10" i="37"/>
  <c r="K10" i="37" s="1"/>
  <c r="G9" i="37" l="1"/>
  <c r="I8" i="37"/>
  <c r="H8" i="37" s="1"/>
  <c r="J9" i="37"/>
  <c r="K9" i="37" s="1"/>
  <c r="J24" i="37"/>
  <c r="K24" i="37" s="1"/>
  <c r="I24" i="37"/>
  <c r="H25" i="37" s="1"/>
  <c r="G24" i="37"/>
  <c r="J23" i="37"/>
  <c r="K23" i="37" s="1"/>
  <c r="I25" i="37" l="1"/>
  <c r="H26" i="37" s="1"/>
  <c r="G25" i="37"/>
  <c r="I7" i="37"/>
  <c r="H7" i="37" s="1"/>
  <c r="J8" i="37"/>
  <c r="K8" i="37" s="1"/>
  <c r="G8" i="37"/>
  <c r="J7" i="37" l="1"/>
  <c r="K7" i="37" s="1"/>
  <c r="G7" i="37"/>
  <c r="I6" i="37"/>
  <c r="H6" i="37" s="1"/>
  <c r="I26" i="37"/>
  <c r="H27" i="37" s="1"/>
  <c r="G26" i="37"/>
  <c r="J25" i="37"/>
  <c r="K25" i="37" s="1"/>
  <c r="I27" i="37" l="1"/>
  <c r="H28" i="37" s="1"/>
  <c r="G27" i="37"/>
  <c r="J26" i="37"/>
  <c r="K26" i="37" s="1"/>
  <c r="I5" i="37"/>
  <c r="H5" i="37" s="1"/>
  <c r="J6" i="37"/>
  <c r="K6" i="37" s="1"/>
  <c r="G6" i="37"/>
  <c r="J5" i="37" l="1"/>
  <c r="K5" i="37" s="1"/>
  <c r="G5" i="37"/>
  <c r="I4" i="37"/>
  <c r="H4" i="37" s="1"/>
  <c r="I28" i="37"/>
  <c r="H29" i="37" s="1"/>
  <c r="G28" i="37"/>
  <c r="J28" i="37"/>
  <c r="K28" i="37" s="1"/>
  <c r="J27" i="37"/>
  <c r="K27" i="37" s="1"/>
  <c r="G4" i="37" l="1"/>
  <c r="I3" i="37"/>
  <c r="H3" i="37" s="1"/>
  <c r="J3" i="37" s="1"/>
  <c r="K3" i="37" s="1"/>
  <c r="J4" i="37"/>
  <c r="K4" i="37" s="1"/>
  <c r="I29" i="37"/>
  <c r="H30" i="37" s="1"/>
  <c r="G29" i="37"/>
  <c r="I30" i="37" l="1"/>
  <c r="H31" i="37" s="1"/>
  <c r="G30" i="37"/>
  <c r="J30" i="37"/>
  <c r="K30" i="37" s="1"/>
  <c r="J29" i="37"/>
  <c r="K29" i="37" s="1"/>
  <c r="I31" i="37" l="1"/>
  <c r="H32" i="37" s="1"/>
  <c r="G31" i="37"/>
  <c r="G32" i="37" l="1"/>
  <c r="I32" i="37"/>
  <c r="H33" i="37" s="1"/>
  <c r="J31" i="37"/>
  <c r="K31" i="37" s="1"/>
  <c r="I33" i="37" l="1"/>
  <c r="H34" i="37" s="1"/>
  <c r="G33" i="37"/>
  <c r="J33" i="37"/>
  <c r="K33" i="37" s="1"/>
  <c r="J32" i="37"/>
  <c r="K32" i="37" s="1"/>
  <c r="G34" i="37" l="1"/>
  <c r="I34" i="37"/>
  <c r="H35" i="37" s="1"/>
  <c r="J34" i="37"/>
  <c r="K34" i="37" s="1"/>
  <c r="G35" i="37" l="1"/>
  <c r="I35" i="37"/>
  <c r="H36" i="37" s="1"/>
  <c r="G36" i="37" l="1"/>
  <c r="I36" i="37"/>
  <c r="H37" i="37" s="1"/>
  <c r="J35" i="37"/>
  <c r="K35" i="37" s="1"/>
  <c r="I37" i="37" l="1"/>
  <c r="H38" i="37" s="1"/>
  <c r="G37" i="37"/>
  <c r="J36" i="37"/>
  <c r="K36" i="37" s="1"/>
  <c r="I38" i="37" l="1"/>
  <c r="H39" i="37" s="1"/>
  <c r="G38" i="37"/>
  <c r="J37" i="37"/>
  <c r="K37" i="37" s="1"/>
  <c r="I39" i="37" l="1"/>
  <c r="H40" i="37" s="1"/>
  <c r="G39" i="37"/>
  <c r="J38" i="37"/>
  <c r="K38" i="37" s="1"/>
  <c r="G40" i="37" l="1"/>
  <c r="I40" i="37"/>
  <c r="H41" i="37" s="1"/>
  <c r="J39" i="37"/>
  <c r="K39" i="37" s="1"/>
  <c r="I41" i="37" l="1"/>
  <c r="H42" i="37" s="1"/>
  <c r="G41" i="37"/>
  <c r="J40" i="37"/>
  <c r="K40" i="37" s="1"/>
  <c r="I42" i="37" l="1"/>
  <c r="H43" i="37" s="1"/>
  <c r="G42" i="37"/>
  <c r="J41" i="37"/>
  <c r="K41" i="37" s="1"/>
  <c r="I43" i="37" l="1"/>
  <c r="H44" i="37" s="1"/>
  <c r="G43" i="37"/>
  <c r="J43" i="37"/>
  <c r="K43" i="37" s="1"/>
  <c r="J42" i="37"/>
  <c r="K42" i="37" s="1"/>
  <c r="I44" i="37" l="1"/>
  <c r="H45" i="37" s="1"/>
  <c r="G44" i="37"/>
  <c r="J44" i="37"/>
  <c r="K44" i="37" s="1"/>
  <c r="I45" i="37" l="1"/>
  <c r="H46" i="37" s="1"/>
  <c r="G45" i="37"/>
  <c r="G46" i="37" l="1"/>
  <c r="I46" i="37"/>
  <c r="H47" i="37" s="1"/>
  <c r="J46" i="37"/>
  <c r="K46" i="37" s="1"/>
  <c r="J45" i="37"/>
  <c r="K45" i="37" s="1"/>
  <c r="G47" i="37" l="1"/>
  <c r="I47" i="37"/>
  <c r="H48" i="37" s="1"/>
  <c r="G48" i="37" l="1"/>
  <c r="I48" i="37"/>
  <c r="H49" i="37" s="1"/>
  <c r="J47" i="37"/>
  <c r="K47" i="37" s="1"/>
  <c r="I49" i="37" l="1"/>
  <c r="H50" i="37" s="1"/>
  <c r="G49" i="37"/>
  <c r="J48" i="37"/>
  <c r="K48" i="37" s="1"/>
  <c r="G50" i="37" l="1"/>
  <c r="I50" i="37"/>
  <c r="H51" i="37" s="1"/>
  <c r="J49" i="37"/>
  <c r="K49" i="37" s="1"/>
  <c r="G51" i="37" l="1"/>
  <c r="I51" i="37"/>
  <c r="H52" i="37" s="1"/>
  <c r="J50" i="37"/>
  <c r="K50" i="37" s="1"/>
  <c r="I52" i="37" l="1"/>
  <c r="H53" i="37" s="1"/>
  <c r="G52" i="37"/>
  <c r="J51" i="37"/>
  <c r="K51" i="37" s="1"/>
  <c r="G53" i="37" l="1"/>
  <c r="I53" i="37"/>
  <c r="H54" i="37" s="1"/>
  <c r="J52" i="37"/>
  <c r="K52" i="37" s="1"/>
  <c r="I54" i="37" l="1"/>
  <c r="H55" i="37" s="1"/>
  <c r="G54" i="37"/>
  <c r="J53" i="37"/>
  <c r="K53" i="37" s="1"/>
  <c r="I55" i="37" l="1"/>
  <c r="H56" i="37" s="1"/>
  <c r="J54" i="37"/>
  <c r="K54" i="37" s="1"/>
  <c r="I56" i="37" l="1"/>
  <c r="H57" i="37" s="1"/>
  <c r="J55" i="37"/>
  <c r="K55" i="37" s="1"/>
  <c r="I57" i="37" l="1"/>
  <c r="H58" i="37" s="1"/>
  <c r="J56" i="37"/>
  <c r="K56" i="37" s="1"/>
  <c r="I58" i="37" l="1"/>
  <c r="H59" i="37" s="1"/>
  <c r="J57" i="37"/>
  <c r="K57" i="37" s="1"/>
  <c r="I59" i="37" l="1"/>
  <c r="H60" i="37" s="1"/>
  <c r="J58" i="37"/>
  <c r="K58" i="37" s="1"/>
  <c r="I60" i="37" l="1"/>
  <c r="H61" i="37" s="1"/>
  <c r="J59" i="37"/>
  <c r="K59" i="37" s="1"/>
  <c r="I61" i="37" l="1"/>
  <c r="H62" i="37" s="1"/>
  <c r="J60" i="37"/>
  <c r="K60" i="37" s="1"/>
  <c r="I62" i="37" l="1"/>
  <c r="H63" i="37" s="1"/>
  <c r="J61" i="37"/>
  <c r="K61" i="37" s="1"/>
  <c r="I63" i="37" l="1"/>
  <c r="H64" i="37" s="1"/>
  <c r="J62" i="37"/>
  <c r="K62" i="37" s="1"/>
  <c r="I64" i="37" l="1"/>
  <c r="H65" i="37" s="1"/>
  <c r="J63" i="37"/>
  <c r="K63" i="37" s="1"/>
  <c r="I65" i="37" l="1"/>
  <c r="H66" i="37" s="1"/>
  <c r="J64" i="37"/>
  <c r="K64" i="37" s="1"/>
  <c r="I66" i="37" l="1"/>
  <c r="H67" i="37" s="1"/>
  <c r="J65" i="37"/>
  <c r="K65" i="37" s="1"/>
  <c r="I67" i="37" l="1"/>
  <c r="H68" i="37" s="1"/>
  <c r="J66" i="37"/>
  <c r="K66" i="37" s="1"/>
  <c r="I68" i="37" l="1"/>
  <c r="H69" i="37" s="1"/>
  <c r="J67" i="37"/>
  <c r="K67" i="37" s="1"/>
  <c r="I69" i="37" l="1"/>
  <c r="H70" i="37" s="1"/>
  <c r="J68" i="37"/>
  <c r="K68" i="37" s="1"/>
  <c r="I70" i="37" l="1"/>
  <c r="H71" i="37" s="1"/>
  <c r="J69" i="37"/>
  <c r="K69" i="37" s="1"/>
  <c r="I71" i="37" l="1"/>
  <c r="H72" i="37" s="1"/>
  <c r="J70" i="37"/>
  <c r="K70" i="37" s="1"/>
  <c r="I72" i="37" l="1"/>
  <c r="H73" i="37" s="1"/>
  <c r="J71" i="37"/>
  <c r="K71" i="37" s="1"/>
  <c r="I73" i="37" l="1"/>
  <c r="H74" i="37" s="1"/>
  <c r="J72" i="37"/>
  <c r="K72" i="37" s="1"/>
  <c r="I74" i="37" l="1"/>
  <c r="H75" i="37" s="1"/>
  <c r="J73" i="37"/>
  <c r="K73" i="37" s="1"/>
  <c r="I75" i="37" l="1"/>
  <c r="H76" i="37" s="1"/>
  <c r="J74" i="37"/>
  <c r="K74" i="37" s="1"/>
  <c r="I76" i="37" l="1"/>
  <c r="H77" i="37" s="1"/>
  <c r="J75" i="37"/>
  <c r="K75" i="37" s="1"/>
  <c r="I77" i="37" l="1"/>
  <c r="H78" i="37" s="1"/>
  <c r="J76" i="37"/>
  <c r="K76" i="37" s="1"/>
  <c r="I78" i="37" l="1"/>
  <c r="H79" i="37" s="1"/>
  <c r="J77" i="37"/>
  <c r="K77" i="37" s="1"/>
  <c r="I79" i="37" l="1"/>
  <c r="H80" i="37" s="1"/>
  <c r="J78" i="37"/>
  <c r="K78" i="37" s="1"/>
  <c r="J80" i="37" l="1"/>
  <c r="K80" i="37" s="1"/>
  <c r="I80" i="37"/>
  <c r="H81" i="37" s="1"/>
  <c r="J79" i="37"/>
  <c r="K79" i="37" s="1"/>
  <c r="J81" i="37" l="1"/>
  <c r="K81" i="37" s="1"/>
  <c r="I81" i="37"/>
  <c r="H82" i="37" s="1"/>
  <c r="J82" i="37" l="1"/>
  <c r="K82" i="37" s="1"/>
  <c r="I82" i="37"/>
  <c r="H83" i="37" s="1"/>
  <c r="I83" i="37" l="1"/>
  <c r="H84" i="37" s="1"/>
  <c r="I84" i="37" l="1"/>
  <c r="H85" i="37" s="1"/>
  <c r="J83" i="37"/>
  <c r="K83" i="37" s="1"/>
  <c r="I85" i="37" l="1"/>
  <c r="H86" i="37" s="1"/>
  <c r="J84" i="37"/>
  <c r="K84" i="37" s="1"/>
  <c r="I86" i="37" l="1"/>
  <c r="H87" i="37" s="1"/>
  <c r="J85" i="37"/>
  <c r="K85" i="37" s="1"/>
  <c r="I87" i="37" l="1"/>
  <c r="H88" i="37" s="1"/>
  <c r="J86" i="37"/>
  <c r="K86" i="37" s="1"/>
  <c r="I88" i="37" l="1"/>
  <c r="H89" i="37" s="1"/>
  <c r="J87" i="37"/>
  <c r="K87" i="37" s="1"/>
  <c r="I89" i="37" l="1"/>
  <c r="H90" i="37" s="1"/>
  <c r="J88" i="37"/>
  <c r="K88" i="37" s="1"/>
  <c r="I90" i="37" l="1"/>
  <c r="H91" i="37" s="1"/>
  <c r="J89" i="37"/>
  <c r="K89" i="37" s="1"/>
  <c r="I91" i="37" l="1"/>
  <c r="H92" i="37" s="1"/>
  <c r="J90" i="37"/>
  <c r="K90" i="37" s="1"/>
  <c r="I92" i="37" l="1"/>
  <c r="H93" i="37" s="1"/>
  <c r="J91" i="37"/>
  <c r="K91" i="37" s="1"/>
  <c r="I93" i="37" l="1"/>
  <c r="H94" i="37" s="1"/>
  <c r="J92" i="37"/>
  <c r="K92" i="37" s="1"/>
  <c r="I94" i="37" l="1"/>
  <c r="H95" i="37" s="1"/>
  <c r="J93" i="37"/>
  <c r="K93" i="37" s="1"/>
  <c r="I95" i="37" l="1"/>
  <c r="H96" i="37" s="1"/>
  <c r="J94" i="37"/>
  <c r="K94" i="37" s="1"/>
  <c r="I96" i="37" l="1"/>
  <c r="H97" i="37" s="1"/>
  <c r="J95" i="37"/>
  <c r="K95" i="37" s="1"/>
  <c r="I97" i="37" l="1"/>
  <c r="H98" i="37" s="1"/>
  <c r="J96" i="37"/>
  <c r="K96" i="37" s="1"/>
  <c r="I98" i="37" l="1"/>
  <c r="H99" i="37" s="1"/>
  <c r="J97" i="37"/>
  <c r="K97" i="37" s="1"/>
  <c r="J99" i="37" l="1"/>
  <c r="K99" i="37" s="1"/>
  <c r="I99" i="37"/>
  <c r="H100" i="37" s="1"/>
  <c r="J98" i="37"/>
  <c r="K98" i="37" s="1"/>
  <c r="I100" i="37" l="1"/>
  <c r="H101" i="37" s="1"/>
  <c r="J101" i="37" l="1"/>
  <c r="K101" i="37" s="1"/>
  <c r="I101" i="37"/>
  <c r="H102" i="37" s="1"/>
  <c r="J100" i="37"/>
  <c r="K100" i="37" s="1"/>
  <c r="I102" i="37" l="1"/>
  <c r="H103" i="37" s="1"/>
  <c r="I103" i="37" l="1"/>
  <c r="H104" i="37" s="1"/>
  <c r="J102" i="37"/>
  <c r="K102" i="37" s="1"/>
  <c r="I104" i="37" l="1"/>
  <c r="H105" i="37" s="1"/>
  <c r="J103" i="37"/>
  <c r="K103" i="37" s="1"/>
  <c r="I105" i="37" l="1"/>
  <c r="H106" i="37" s="1"/>
  <c r="J104" i="37"/>
  <c r="K104" i="37" s="1"/>
  <c r="I106" i="37" l="1"/>
  <c r="H107" i="37" s="1"/>
  <c r="J106" i="37"/>
  <c r="K106" i="37" s="1"/>
  <c r="J105" i="37"/>
  <c r="K105" i="37" s="1"/>
  <c r="I107" i="37" l="1"/>
  <c r="H108" i="37" s="1"/>
  <c r="I108" i="37" l="1"/>
  <c r="H109" i="37" s="1"/>
  <c r="J108" i="37"/>
  <c r="K108" i="37" s="1"/>
  <c r="J107" i="37"/>
  <c r="K107" i="37" s="1"/>
  <c r="I109" i="37" l="1"/>
  <c r="H110" i="37" s="1"/>
  <c r="I110" i="37" l="1"/>
  <c r="H111" i="37" s="1"/>
  <c r="J110" i="37"/>
  <c r="K110" i="37" s="1"/>
  <c r="J109" i="37"/>
  <c r="K109" i="37" s="1"/>
  <c r="I111" i="37" l="1"/>
  <c r="H112" i="37" s="1"/>
  <c r="I112" i="37" l="1"/>
  <c r="H113" i="37" s="1"/>
  <c r="J112" i="37"/>
  <c r="K112" i="37" s="1"/>
  <c r="J111" i="37"/>
  <c r="K111" i="37" s="1"/>
  <c r="I113" i="37" l="1"/>
  <c r="H114" i="37" s="1"/>
  <c r="I114" i="37" l="1"/>
  <c r="H115" i="37" s="1"/>
  <c r="J113" i="37"/>
  <c r="K113" i="37" s="1"/>
  <c r="J114" i="37" l="1"/>
  <c r="K114" i="37" s="1"/>
  <c r="I115" i="37"/>
  <c r="H116" i="37" s="1"/>
  <c r="I116" i="37" l="1"/>
  <c r="H117" i="37" s="1"/>
  <c r="J115" i="37"/>
  <c r="K115" i="37" s="1"/>
  <c r="J116" i="37" l="1"/>
  <c r="K116" i="37" s="1"/>
  <c r="I117" i="37"/>
  <c r="H118" i="37" s="1"/>
  <c r="I118" i="37" l="1"/>
  <c r="H119" i="37" s="1"/>
  <c r="J118" i="37"/>
  <c r="K118" i="37" s="1"/>
  <c r="J117" i="37"/>
  <c r="K117" i="37" s="1"/>
  <c r="I119" i="37" l="1"/>
  <c r="H120" i="37" s="1"/>
  <c r="I120" i="37" l="1"/>
  <c r="H121" i="37" s="1"/>
  <c r="J120" i="37"/>
  <c r="K120" i="37" s="1"/>
  <c r="J119" i="37"/>
  <c r="K119" i="37" s="1"/>
  <c r="I121" i="37" l="1"/>
  <c r="H122" i="37" s="1"/>
  <c r="I122" i="37" l="1"/>
  <c r="H123" i="37" s="1"/>
  <c r="J122" i="37"/>
  <c r="K122" i="37" s="1"/>
  <c r="J121" i="37"/>
  <c r="K121" i="37" s="1"/>
  <c r="I123" i="37" l="1"/>
  <c r="H124" i="37" s="1"/>
  <c r="I124" i="37" l="1"/>
  <c r="H125" i="37" s="1"/>
  <c r="J124" i="37"/>
  <c r="K124" i="37" s="1"/>
  <c r="J123" i="37"/>
  <c r="K123" i="37" s="1"/>
  <c r="I125" i="37" l="1"/>
  <c r="H126" i="37" s="1"/>
  <c r="I126" i="37" l="1"/>
  <c r="H127" i="37" s="1"/>
  <c r="J126" i="37"/>
  <c r="K126" i="37" s="1"/>
  <c r="J125" i="37"/>
  <c r="K125" i="37" s="1"/>
  <c r="I127" i="37" l="1"/>
  <c r="H128" i="37" s="1"/>
  <c r="I128" i="37" l="1"/>
  <c r="H129" i="37" s="1"/>
  <c r="J127" i="37"/>
  <c r="K127" i="37" s="1"/>
  <c r="J128" i="37" l="1"/>
  <c r="K128" i="37" s="1"/>
  <c r="I129" i="37"/>
  <c r="H130" i="37" s="1"/>
  <c r="I130" i="37" l="1"/>
  <c r="H131" i="37" s="1"/>
  <c r="J130" i="37"/>
  <c r="K130" i="37" s="1"/>
  <c r="J129" i="37"/>
  <c r="K129" i="37" s="1"/>
  <c r="I131" i="37" l="1"/>
  <c r="H132" i="37" s="1"/>
  <c r="I132" i="37" l="1"/>
  <c r="H133" i="37" s="1"/>
  <c r="J132" i="37"/>
  <c r="K132" i="37" s="1"/>
  <c r="J131" i="37"/>
  <c r="K131" i="37" s="1"/>
  <c r="I133" i="37" l="1"/>
  <c r="H134" i="37" s="1"/>
  <c r="I134" i="37" l="1"/>
  <c r="H135" i="37" s="1"/>
  <c r="J134" i="37"/>
  <c r="K134" i="37" s="1"/>
  <c r="J133" i="37"/>
  <c r="K133" i="37" s="1"/>
  <c r="I135" i="37" l="1"/>
  <c r="H136" i="37" s="1"/>
  <c r="I136" i="37" l="1"/>
  <c r="H137" i="37" s="1"/>
  <c r="J136" i="37"/>
  <c r="K136" i="37" s="1"/>
  <c r="J135" i="37"/>
  <c r="K135" i="37" s="1"/>
  <c r="I137" i="37" l="1"/>
  <c r="H138" i="37" s="1"/>
  <c r="I138" i="37" l="1"/>
  <c r="H139" i="37" s="1"/>
  <c r="J138" i="37"/>
  <c r="K138" i="37" s="1"/>
  <c r="J137" i="37"/>
  <c r="K137" i="37" s="1"/>
  <c r="I139" i="37" l="1"/>
  <c r="H140" i="37" s="1"/>
  <c r="I140" i="37" l="1"/>
  <c r="H141" i="37" s="1"/>
  <c r="J139" i="37"/>
  <c r="K139" i="37" s="1"/>
  <c r="J140" i="37" l="1"/>
  <c r="K140" i="37" s="1"/>
  <c r="I141" i="37"/>
  <c r="H142" i="37" s="1"/>
  <c r="I142" i="37" l="1"/>
  <c r="H143" i="37" s="1"/>
  <c r="J141" i="37"/>
  <c r="K141" i="37" s="1"/>
  <c r="I143" i="37" l="1"/>
  <c r="H144" i="37" s="1"/>
  <c r="J142" i="37"/>
  <c r="K142" i="37" s="1"/>
  <c r="I144" i="37" l="1"/>
  <c r="H145" i="37" s="1"/>
  <c r="J144" i="37"/>
  <c r="K144" i="37" s="1"/>
  <c r="J143" i="37"/>
  <c r="K143" i="37" s="1"/>
  <c r="J145" i="37" l="1"/>
  <c r="K145" i="37" s="1"/>
  <c r="I145" i="37"/>
  <c r="H146" i="37" s="1"/>
  <c r="I146" i="37" l="1"/>
  <c r="H147" i="37" s="1"/>
  <c r="J146" i="37"/>
  <c r="K146" i="37" s="1"/>
  <c r="I147" i="37" l="1"/>
  <c r="H148" i="37" s="1"/>
  <c r="I148" i="37" l="1"/>
  <c r="H149" i="37" s="1"/>
  <c r="J148" i="37"/>
  <c r="K148" i="37" s="1"/>
  <c r="J147" i="37"/>
  <c r="K147" i="37" s="1"/>
  <c r="J149" i="37" l="1"/>
  <c r="K149" i="37" s="1"/>
  <c r="I149" i="37"/>
  <c r="H150" i="37" s="1"/>
  <c r="I150" i="37" l="1"/>
  <c r="H151" i="37" s="1"/>
  <c r="J150" i="37"/>
  <c r="K150" i="37" s="1"/>
  <c r="I151" i="37" l="1"/>
  <c r="H152" i="37" s="1"/>
  <c r="I152" i="37" l="1"/>
  <c r="H153" i="37" s="1"/>
  <c r="J151" i="37"/>
  <c r="K151" i="37" s="1"/>
  <c r="J152" i="37" l="1"/>
  <c r="K152" i="37" s="1"/>
  <c r="I153" i="37"/>
  <c r="H154" i="37" s="1"/>
  <c r="I154" i="37" l="1"/>
  <c r="H155" i="37" s="1"/>
  <c r="J154" i="37"/>
  <c r="K154" i="37" s="1"/>
  <c r="J153" i="37"/>
  <c r="K153" i="37" s="1"/>
  <c r="J155" i="37" l="1"/>
  <c r="K155" i="37" s="1"/>
  <c r="I155" i="37"/>
  <c r="H156" i="37" s="1"/>
  <c r="I156" i="37" l="1"/>
  <c r="H157" i="37" s="1"/>
  <c r="J156" i="37" l="1"/>
  <c r="K156" i="37" s="1"/>
  <c r="I157" i="37"/>
  <c r="H158" i="37" s="1"/>
  <c r="I158" i="37" l="1"/>
  <c r="H159" i="37" s="1"/>
  <c r="J158" i="37"/>
  <c r="K158" i="37" s="1"/>
  <c r="J157" i="37"/>
  <c r="K157" i="37" s="1"/>
  <c r="I159" i="37" l="1"/>
  <c r="H160" i="37" s="1"/>
  <c r="I160" i="37" l="1"/>
  <c r="H161" i="37" s="1"/>
  <c r="J159" i="37"/>
  <c r="K159" i="37" s="1"/>
  <c r="I161" i="37" l="1"/>
  <c r="H162" i="37" s="1"/>
  <c r="J160" i="37"/>
  <c r="K160" i="37" s="1"/>
  <c r="J162" i="37" l="1"/>
  <c r="K162" i="37" s="1"/>
  <c r="I162" i="37"/>
  <c r="H163" i="37" s="1"/>
  <c r="J161" i="37"/>
  <c r="K161" i="37" s="1"/>
  <c r="I163" i="37" l="1"/>
  <c r="H164" i="37" s="1"/>
  <c r="I164" i="37" l="1"/>
  <c r="H165" i="37" s="1"/>
  <c r="J163" i="37"/>
  <c r="K163" i="37" s="1"/>
  <c r="I165" i="37" l="1"/>
  <c r="H166" i="37" s="1"/>
  <c r="J164" i="37"/>
  <c r="K164" i="37" s="1"/>
  <c r="I166" i="37" l="1"/>
  <c r="H167" i="37" s="1"/>
  <c r="J165" i="37"/>
  <c r="K165" i="37" s="1"/>
  <c r="I167" i="37" l="1"/>
  <c r="H168" i="37" s="1"/>
  <c r="J166" i="37"/>
  <c r="K166" i="37" s="1"/>
  <c r="I168" i="37" l="1"/>
  <c r="H169" i="37" s="1"/>
  <c r="J167" i="37"/>
  <c r="K167" i="37" s="1"/>
  <c r="J168" i="37" l="1"/>
  <c r="K168" i="37" s="1"/>
  <c r="I169" i="37"/>
  <c r="H170" i="37" s="1"/>
  <c r="I170" i="37" l="1"/>
  <c r="H171" i="37" s="1"/>
  <c r="J169" i="37"/>
  <c r="K169" i="37" s="1"/>
  <c r="I171" i="37" l="1"/>
  <c r="H172" i="37" s="1"/>
  <c r="J170" i="37"/>
  <c r="K170" i="37" s="1"/>
  <c r="I172" i="37" l="1"/>
  <c r="H173" i="37" s="1"/>
  <c r="J171" i="37"/>
  <c r="K171" i="37" s="1"/>
  <c r="J173" i="37" l="1"/>
  <c r="K173" i="37" s="1"/>
  <c r="I173" i="37"/>
  <c r="H174" i="37" s="1"/>
  <c r="J172" i="37"/>
  <c r="K172" i="37" s="1"/>
  <c r="I174" i="37" l="1"/>
  <c r="H175" i="37" s="1"/>
  <c r="I175" i="37" l="1"/>
  <c r="H176" i="37" s="1"/>
  <c r="J174" i="37"/>
  <c r="K174" i="37" s="1"/>
  <c r="I176" i="37" l="1"/>
  <c r="H177" i="37" s="1"/>
  <c r="J175" i="37"/>
  <c r="K175" i="37" s="1"/>
  <c r="I177" i="37" l="1"/>
  <c r="H178" i="37" s="1"/>
  <c r="J176" i="37"/>
  <c r="K176" i="37" s="1"/>
  <c r="I178" i="37" l="1"/>
  <c r="H179" i="37" s="1"/>
  <c r="J177" i="37"/>
  <c r="K177" i="37" s="1"/>
  <c r="I179" i="37" l="1"/>
  <c r="H180" i="37" s="1"/>
  <c r="J178" i="37"/>
  <c r="K178" i="37" s="1"/>
  <c r="J180" i="37" l="1"/>
  <c r="K180" i="37" s="1"/>
  <c r="I180" i="37"/>
  <c r="H181" i="37" s="1"/>
  <c r="J179" i="37"/>
  <c r="K179" i="37" s="1"/>
  <c r="I181" i="37" l="1"/>
  <c r="H182" i="37" s="1"/>
  <c r="J182" i="37" l="1"/>
  <c r="K182" i="37" s="1"/>
  <c r="I182" i="37"/>
  <c r="H183" i="37" s="1"/>
  <c r="J181" i="37"/>
  <c r="K181" i="37" s="1"/>
  <c r="J183" i="37" l="1"/>
  <c r="K183" i="37" s="1"/>
  <c r="I183" i="37"/>
  <c r="H184" i="37" s="1"/>
  <c r="I184" i="37" l="1"/>
  <c r="H185" i="37" s="1"/>
  <c r="I185" i="37" l="1"/>
  <c r="H186" i="37" s="1"/>
  <c r="J184" i="37"/>
  <c r="K184" i="37" s="1"/>
  <c r="I186" i="37" l="1"/>
  <c r="H187" i="37" s="1"/>
  <c r="J185" i="37"/>
  <c r="K185" i="37" s="1"/>
  <c r="J187" i="37" l="1"/>
  <c r="K187" i="37" s="1"/>
  <c r="I187" i="37"/>
  <c r="H188" i="37" s="1"/>
  <c r="J186" i="37"/>
  <c r="K186" i="37" s="1"/>
  <c r="I188" i="37" l="1"/>
  <c r="H189" i="37" s="1"/>
  <c r="I189" i="37" l="1"/>
  <c r="H190" i="37" s="1"/>
  <c r="J188" i="37"/>
  <c r="K188" i="37" s="1"/>
  <c r="J190" i="37" l="1"/>
  <c r="K190" i="37" s="1"/>
  <c r="I190" i="37"/>
  <c r="H191" i="37" s="1"/>
  <c r="J189" i="37"/>
  <c r="K189" i="37" s="1"/>
  <c r="J191" i="37" l="1"/>
  <c r="K191" i="37" s="1"/>
  <c r="I191" i="37"/>
  <c r="H192" i="37" s="1"/>
  <c r="I192" i="37" l="1"/>
  <c r="H193" i="37" s="1"/>
  <c r="I193" i="37" l="1"/>
  <c r="H194" i="37" s="1"/>
  <c r="J192" i="37"/>
  <c r="K192" i="37" s="1"/>
  <c r="I194" i="37" l="1"/>
  <c r="H195" i="37" s="1"/>
  <c r="J193" i="37"/>
  <c r="K193" i="37" s="1"/>
  <c r="I195" i="37" l="1"/>
  <c r="H196" i="37" s="1"/>
  <c r="J194" i="37"/>
  <c r="K194" i="37" s="1"/>
  <c r="I196" i="37" l="1"/>
  <c r="H197" i="37" s="1"/>
  <c r="J195" i="37"/>
  <c r="K195" i="37" s="1"/>
  <c r="I197" i="37" l="1"/>
  <c r="H198" i="37" s="1"/>
  <c r="J196" i="37"/>
  <c r="K196" i="37" s="1"/>
  <c r="I198" i="37" l="1"/>
  <c r="H199" i="37" s="1"/>
  <c r="J197" i="37"/>
  <c r="K197" i="37" s="1"/>
  <c r="J198" i="37" l="1"/>
  <c r="K198" i="37" s="1"/>
  <c r="I199" i="37"/>
  <c r="H200" i="37" s="1"/>
  <c r="I200" i="37" l="1"/>
  <c r="H201" i="37" s="1"/>
  <c r="J199" i="37"/>
  <c r="K199" i="37" s="1"/>
  <c r="J201" i="37" l="1"/>
  <c r="K201" i="37" s="1"/>
  <c r="I201" i="37"/>
  <c r="H202" i="37" s="1"/>
  <c r="J200" i="37"/>
  <c r="K200" i="37" s="1"/>
  <c r="I202" i="37" l="1"/>
  <c r="H203" i="37" s="1"/>
  <c r="J202" i="37"/>
  <c r="K202" i="37" s="1"/>
  <c r="I203" i="37" l="1"/>
  <c r="H204" i="37" s="1"/>
  <c r="I204" i="37" l="1"/>
  <c r="H205" i="37" s="1"/>
  <c r="J203" i="37"/>
  <c r="K203" i="37" s="1"/>
  <c r="I205" i="37" l="1"/>
  <c r="H206" i="37" s="1"/>
  <c r="J204" i="37"/>
  <c r="K204" i="37" s="1"/>
  <c r="I206" i="37" l="1"/>
  <c r="H207" i="37" s="1"/>
  <c r="J206" i="37"/>
  <c r="K206" i="37" s="1"/>
  <c r="J205" i="37"/>
  <c r="K205" i="37" s="1"/>
  <c r="I207" i="37" l="1"/>
  <c r="H208" i="37" s="1"/>
  <c r="I208" i="37" l="1"/>
  <c r="H209" i="37" s="1"/>
  <c r="J208" i="37"/>
  <c r="K208" i="37" s="1"/>
  <c r="J207" i="37"/>
  <c r="K207" i="37" s="1"/>
  <c r="I209" i="37" l="1"/>
  <c r="H210" i="37" s="1"/>
  <c r="I210" i="37" l="1"/>
  <c r="J210" i="37"/>
  <c r="K210" i="37" s="1"/>
  <c r="J209" i="37"/>
  <c r="K209" i="37" s="1"/>
</calcChain>
</file>

<file path=xl/sharedStrings.xml><?xml version="1.0" encoding="utf-8"?>
<sst xmlns="http://schemas.openxmlformats.org/spreadsheetml/2006/main" count="1232" uniqueCount="250">
  <si>
    <t>CDM Crackle</t>
  </si>
  <si>
    <t>Baddi - DPC</t>
  </si>
  <si>
    <t>Induri - C&amp;M</t>
  </si>
  <si>
    <t>CDM Crackle L</t>
  </si>
  <si>
    <t>Baddi - E2</t>
  </si>
  <si>
    <t>Makson - S</t>
  </si>
  <si>
    <t>CDM 10</t>
  </si>
  <si>
    <t>Baddi - E4</t>
  </si>
  <si>
    <t>CDM RA Small</t>
  </si>
  <si>
    <t>Induri - ML</t>
  </si>
  <si>
    <t>CDM RA Large</t>
  </si>
  <si>
    <t>Induri - Shell</t>
  </si>
  <si>
    <t>CDM F&amp;N Large</t>
  </si>
  <si>
    <t>Makson - B</t>
  </si>
  <si>
    <t>CDM F&amp;N Small</t>
  </si>
  <si>
    <t>Sricity - 11K</t>
  </si>
  <si>
    <t>Sricity - 16K</t>
  </si>
  <si>
    <t>Sricity - NML</t>
  </si>
  <si>
    <t>Sricity - UL</t>
  </si>
  <si>
    <t>Sricity - LOF</t>
  </si>
  <si>
    <t>Sep-25</t>
  </si>
  <si>
    <t>Feb-26</t>
  </si>
  <si>
    <t>Line</t>
  </si>
  <si>
    <t>CDM Base</t>
  </si>
  <si>
    <t>CDM 5</t>
  </si>
  <si>
    <t>CDM 10 Bulk</t>
  </si>
  <si>
    <t>CDM 130</t>
  </si>
  <si>
    <t>CDM 100</t>
  </si>
  <si>
    <t>CDM 20</t>
  </si>
  <si>
    <t>CDM 20 Bulk</t>
  </si>
  <si>
    <t>CDM 30</t>
  </si>
  <si>
    <t>CDM 40</t>
  </si>
  <si>
    <t>CDM 50</t>
  </si>
  <si>
    <t>Crispello 10</t>
  </si>
  <si>
    <t>Crispello 35</t>
  </si>
  <si>
    <t>Crispello 20</t>
  </si>
  <si>
    <t>DPC</t>
  </si>
  <si>
    <t>CDM HT</t>
  </si>
  <si>
    <t>CDM HT 200</t>
  </si>
  <si>
    <t>CDM HT bulk</t>
  </si>
  <si>
    <t>Silk</t>
  </si>
  <si>
    <t>Silk Ganache Small</t>
  </si>
  <si>
    <t>Silk Ganache Large</t>
  </si>
  <si>
    <t>Silk Plain Small</t>
  </si>
  <si>
    <t>Silk Plain Small Omni</t>
  </si>
  <si>
    <t>Silk Plain Large</t>
  </si>
  <si>
    <t>Silk Plain Large Omni</t>
  </si>
  <si>
    <t>Silk Plain XXL</t>
  </si>
  <si>
    <t>Silk F&amp;N Small</t>
  </si>
  <si>
    <t>Silk F&amp;N Large</t>
  </si>
  <si>
    <t>Silk RA Small</t>
  </si>
  <si>
    <t>Silk RA Large</t>
  </si>
  <si>
    <t>Silk Hazelnut Small</t>
  </si>
  <si>
    <t>Silk Hazelnut Large</t>
  </si>
  <si>
    <t>Silk 250</t>
  </si>
  <si>
    <t>Silk Oreo XS</t>
  </si>
  <si>
    <t>Silk XS</t>
  </si>
  <si>
    <t>Silk Bubbly Small</t>
  </si>
  <si>
    <t>Silk Bubbly Large</t>
  </si>
  <si>
    <t>Silk Bubbly Small SEA</t>
  </si>
  <si>
    <t>Silk Bubbly Large SEA</t>
  </si>
  <si>
    <t>Silk Oreo Small</t>
  </si>
  <si>
    <t>Silk Oreo Large</t>
  </si>
  <si>
    <t>Silk Oreo Small SEA</t>
  </si>
  <si>
    <t>Silk Oreo Large SEA</t>
  </si>
  <si>
    <t>Silk Mousse Small</t>
  </si>
  <si>
    <t>Silk Mousse Large</t>
  </si>
  <si>
    <t>Silk Hometreats incl. bulk</t>
  </si>
  <si>
    <t>Silk Walnut Brownie Small</t>
  </si>
  <si>
    <t>Silk Walnut Brownie Large</t>
  </si>
  <si>
    <t>Silk Plum Cake Small</t>
  </si>
  <si>
    <t>Temptation AT</t>
  </si>
  <si>
    <t>Temptation RR</t>
  </si>
  <si>
    <t>Rich Cocoa Small</t>
  </si>
  <si>
    <t>Rich Cocoa Large</t>
  </si>
  <si>
    <t>Raisin &amp; Nut Large</t>
  </si>
  <si>
    <t>Cranberry Large</t>
  </si>
  <si>
    <t>Lumos</t>
  </si>
  <si>
    <t>BVL RR</t>
  </si>
  <si>
    <t>BVL FN Small</t>
  </si>
  <si>
    <t>CDM Var</t>
  </si>
  <si>
    <t>Sricity</t>
  </si>
  <si>
    <t>Induri</t>
  </si>
  <si>
    <t>Baddi</t>
  </si>
  <si>
    <t>Non-Working Hours</t>
  </si>
  <si>
    <t>Key1</t>
  </si>
  <si>
    <t>Key2</t>
  </si>
  <si>
    <t>MonthNum</t>
  </si>
  <si>
    <t>Month</t>
  </si>
  <si>
    <t>Year</t>
  </si>
  <si>
    <t>Month Week</t>
  </si>
  <si>
    <t>Year Week</t>
  </si>
  <si>
    <t>Week Start Date</t>
  </si>
  <si>
    <t>Week End Date</t>
  </si>
  <si>
    <t>Allocated Days - Current Month</t>
  </si>
  <si>
    <t>Allocated Days - Previous Month</t>
  </si>
  <si>
    <t>Jan</t>
  </si>
  <si>
    <t>W1</t>
  </si>
  <si>
    <t>W2</t>
  </si>
  <si>
    <t>W3</t>
  </si>
  <si>
    <t>W4</t>
  </si>
  <si>
    <t>Feb</t>
  </si>
  <si>
    <t>Mar</t>
  </si>
  <si>
    <t>W5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</si>
  <si>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</si>
  <si>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</si>
  <si>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</si>
  <si>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</si>
  <si>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</si>
  <si>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</si>
  <si>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</si>
  <si>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</si>
  <si>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</si>
  <si>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</si>
  <si>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</si>
  <si>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</si>
  <si>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</si>
  <si>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</si>
  <si>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</si>
  <si>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</si>
  <si>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</si>
  <si>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</si>
  <si>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</si>
  <si>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</si>
  <si>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</si>
  <si>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</si>
  <si>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</si>
  <si>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</si>
  <si>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</si>
  <si>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</si>
  <si>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</si>
  <si>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</si>
  <si>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</si>
  <si>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</si>
  <si>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</si>
  <si>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</si>
  <si>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</si>
  <si>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</si>
  <si>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</si>
  <si>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</si>
  <si>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</si>
  <si>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</si>
  <si>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</si>
  <si>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</si>
  <si>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</si>
  <si>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</si>
  <si>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</si>
  <si>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</si>
  <si>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</si>
  <si>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</si>
  <si>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</si>
  <si>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</si>
  <si>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</si>
  <si>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</si>
  <si>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</si>
  <si>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</si>
  <si>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</si>
  <si>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</si>
  <si>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</si>
  <si>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</si>
  <si>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Line SKU Prioritization</t>
  </si>
  <si>
    <t>Throughput in KG/HR</t>
  </si>
  <si>
    <t>GE (%)</t>
  </si>
  <si>
    <t>Key</t>
  </si>
  <si>
    <t>Plant</t>
  </si>
  <si>
    <t>Brand</t>
  </si>
  <si>
    <t>Link Code Desc</t>
  </si>
  <si>
    <t>Priority</t>
  </si>
  <si>
    <t>MOQ</t>
  </si>
  <si>
    <t>Target DOS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</si>
  <si>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</si>
  <si>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</si>
  <si>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</si>
  <si>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</si>
  <si>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</si>
  <si>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</si>
  <si>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</si>
  <si>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</si>
  <si>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Oct-25</t>
  </si>
  <si>
    <t>Nov-25</t>
  </si>
  <si>
    <t>Dec-25</t>
  </si>
  <si>
    <t>Jan-26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</si>
  <si>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</si>
  <si>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</si>
  <si>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</si>
  <si>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</si>
  <si>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</si>
  <si>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</si>
  <si>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</si>
  <si>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</si>
  <si>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</si>
  <si>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</si>
  <si>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</si>
  <si>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</si>
  <si>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</si>
  <si>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</si>
  <si>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</si>
  <si>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</si>
  <si>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</si>
  <si>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</si>
  <si>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</si>
  <si>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</si>
  <si>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</si>
  <si>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</si>
  <si>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Jan-28</t>
  </si>
  <si>
    <t>Feb-28</t>
  </si>
  <si>
    <t>Mar-28</t>
  </si>
  <si>
    <t>Apr-28</t>
  </si>
  <si>
    <t>May-28</t>
  </si>
  <si>
    <t>Jun-28</t>
  </si>
  <si>
    <t>Jul-28</t>
  </si>
  <si>
    <t>Aug-28</t>
  </si>
  <si>
    <t>Sep-28</t>
  </si>
  <si>
    <t>Oct-28</t>
  </si>
  <si>
    <t>Nov-28</t>
  </si>
  <si>
    <t>Dec-28</t>
  </si>
  <si>
    <t>Makson S</t>
  </si>
  <si>
    <t>Bournville</t>
  </si>
  <si>
    <t>BVL Cranb small</t>
  </si>
  <si>
    <t>CDM 10 NEPAL</t>
  </si>
  <si>
    <t>CDM 100 NEPAL</t>
  </si>
  <si>
    <t>CDM 20 NEPAL</t>
  </si>
  <si>
    <t>Edge</t>
  </si>
  <si>
    <t>CDM EDGE Assorted Pack</t>
  </si>
  <si>
    <t>CDM GIANDUJA 78G</t>
  </si>
  <si>
    <t>Makson B</t>
  </si>
  <si>
    <t>CDM Milk Large</t>
  </si>
  <si>
    <t>CDM Milk Small</t>
  </si>
  <si>
    <t>CDM TARTE LA ORANGE 78G</t>
  </si>
  <si>
    <t>Crispello</t>
  </si>
  <si>
    <t>EDGE Brownie</t>
  </si>
  <si>
    <t>EDGE Gianduja 4U</t>
  </si>
  <si>
    <t>Rich Cocoa Large NEPAL</t>
  </si>
  <si>
    <t>SILK BUBBLY  Large NEPAL</t>
  </si>
  <si>
    <t>Silk Bubbly Small NEPAL</t>
  </si>
  <si>
    <t>Silk F&amp;N Large NEPAL</t>
  </si>
  <si>
    <t>Silk F&amp;N Small NEPAL</t>
  </si>
  <si>
    <t>SILK MOUSSE LARGE SEA</t>
  </si>
  <si>
    <t>SILK MOUSSE SMALL SEA</t>
  </si>
  <si>
    <t>Silk Oreo Large NEPAL</t>
  </si>
  <si>
    <t>Silk Oreo Small IDTH</t>
  </si>
  <si>
    <t>Silk Oreo Small NEPAL</t>
  </si>
  <si>
    <t>Silk Plain Small NEPAL</t>
  </si>
  <si>
    <t>Silk RA Small NEPAL</t>
  </si>
  <si>
    <t>Temptations</t>
  </si>
  <si>
    <t>CDM 40 NEPAL</t>
  </si>
  <si>
    <t>CDM Crackle 10</t>
  </si>
  <si>
    <t>CDM Mocha Almond</t>
  </si>
  <si>
    <t>Silk Kunafa</t>
  </si>
  <si>
    <t>CDM 150 Champions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</si>
</sst>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 * #,##0.0_ ;_ * \-#,##0.0_ ;_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8">
    <xf numFmtId="0" fontId="0" fillId="0" borderId="0"/>
    <xf numFmtId="9" fontId="4" fillId="0" borderId="0" applyFont="0" applyFill="0" applyBorder="0" applyAlignment="0" applyProtection="0"/>
    <xf numFmtId="0" fontId="5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</cellStyleXfs>
  <cellXfs count="60">
    <xf numFmtId="0" fontId="0" fillId="0" borderId="0" xfId="0"/>
    <xf numFmtId="1" fontId="0" fillId="0" borderId="0" xfId="0" applyNumberFormat="1"/>
    <xf numFmtId="0" fontId="0" fillId="5" borderId="0" xfId="0" applyFill="1"/>
    <xf numFmtId="14" fontId="0" fillId="0" borderId="0" xfId="0" applyNumberFormat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166" fontId="7" fillId="2" borderId="11" xfId="5" applyNumberFormat="1" applyFont="1" applyFill="1" applyBorder="1" applyAlignment="1">
      <alignment horizontal="center"/>
    </xf>
    <xf numFmtId="166" fontId="7" fillId="2" borderId="9" xfId="5" applyNumberFormat="1" applyFont="1" applyFill="1" applyBorder="1" applyAlignment="1">
      <alignment horizontal="center"/>
    </xf>
    <xf numFmtId="9" fontId="7" fillId="2" borderId="10" xfId="1" applyFont="1" applyFill="1" applyBorder="1" applyAlignment="1">
      <alignment horizontal="center"/>
    </xf>
    <xf numFmtId="9" fontId="7" fillId="2" borderId="15" xfId="1" applyFont="1" applyFill="1" applyBorder="1" applyAlignment="1">
      <alignment horizontal="center"/>
    </xf>
    <xf numFmtId="9" fontId="7" fillId="2" borderId="11" xfId="1" applyFont="1" applyFill="1" applyBorder="1" applyAlignment="1">
      <alignment horizontal="center"/>
    </xf>
    <xf numFmtId="9" fontId="7" fillId="2" borderId="12" xfId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66" fontId="10" fillId="0" borderId="0" xfId="5" applyNumberFormat="1" applyFont="1"/>
    <xf numFmtId="9" fontId="10" fillId="0" borderId="0" xfId="1" applyFont="1"/>
    <xf numFmtId="0" fontId="2" fillId="10" borderId="0" xfId="2" applyFont="1" applyFill="1" applyAlignment="1">
      <alignment horizontal="center"/>
    </xf>
    <xf numFmtId="0" fontId="3" fillId="10" borderId="0" xfId="0" applyFont="1" applyFill="1"/>
    <xf numFmtId="0" fontId="3" fillId="10" borderId="0" xfId="0" applyFont="1" applyFill="1" applyAlignment="1">
      <alignment horizontal="center"/>
    </xf>
    <xf numFmtId="166" fontId="3" fillId="10" borderId="0" xfId="5" applyNumberFormat="1" applyFont="1" applyFill="1"/>
    <xf numFmtId="166" fontId="6" fillId="11" borderId="2" xfId="5" applyNumberFormat="1" applyFont="1" applyFill="1" applyBorder="1" applyAlignment="1">
      <alignment horizontal="center" vertical="center" wrapText="1"/>
    </xf>
    <xf numFmtId="166" fontId="11" fillId="9" borderId="2" xfId="5" applyNumberFormat="1" applyFont="1" applyFill="1" applyBorder="1" applyAlignment="1">
      <alignment horizontal="center" vertical="center" wrapText="1"/>
    </xf>
    <xf numFmtId="166" fontId="6" fillId="12" borderId="2" xfId="5" applyNumberFormat="1" applyFont="1" applyFill="1" applyBorder="1" applyAlignment="1">
      <alignment horizontal="center" vertical="center" wrapText="1"/>
    </xf>
    <xf numFmtId="166" fontId="6" fillId="13" borderId="2" xfId="5" applyNumberFormat="1" applyFont="1" applyFill="1" applyBorder="1" applyAlignment="1">
      <alignment horizontal="center" vertical="center" wrapText="1"/>
    </xf>
    <xf numFmtId="0" fontId="0" fillId="10" borderId="0" xfId="0" applyFill="1"/>
    <xf numFmtId="166" fontId="3" fillId="10" borderId="0" xfId="5" applyNumberFormat="1" applyFont="1" applyFill="1" applyAlignment="1">
      <alignment horizontal="center"/>
    </xf>
    <xf numFmtId="165" fontId="8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8" fillId="10" borderId="0" xfId="0" applyFont="1" applyFill="1" applyAlignment="1">
      <alignment horizontal="center"/>
    </xf>
    <xf numFmtId="0" fontId="8" fillId="10" borderId="0" xfId="5" applyNumberFormat="1" applyFont="1" applyFill="1" applyAlignment="1">
      <alignment horizontal="center"/>
    </xf>
    <xf numFmtId="0" fontId="12" fillId="0" borderId="0" xfId="0" applyFont="1"/>
    <xf numFmtId="0" fontId="9" fillId="2" borderId="10" xfId="0" applyFont="1" applyFill="1" applyBorder="1" applyAlignment="1">
      <alignment horizontal="center" vertical="center"/>
    </xf>
    <xf numFmtId="0" fontId="8" fillId="8" borderId="0" xfId="0" applyFont="1" applyFill="1"/>
    <xf numFmtId="166" fontId="3" fillId="10" borderId="0" xfId="3" applyNumberFormat="1" applyFont="1" applyFill="1"/>
    <xf numFmtId="165" fontId="7" fillId="2" borderId="17" xfId="0" applyNumberFormat="1" applyFont="1" applyFill="1" applyBorder="1" applyAlignment="1">
      <alignment horizontal="center" vertical="center"/>
    </xf>
    <xf numFmtId="165" fontId="9" fillId="2" borderId="18" xfId="0" applyNumberFormat="1" applyFont="1" applyFill="1" applyBorder="1" applyAlignment="1">
      <alignment horizontal="center" vertical="center"/>
    </xf>
    <xf numFmtId="166" fontId="7" fillId="2" borderId="15" xfId="5" applyNumberFormat="1" applyFont="1" applyFill="1" applyBorder="1" applyAlignment="1">
      <alignment horizontal="center"/>
    </xf>
    <xf numFmtId="165" fontId="1" fillId="14" borderId="0" xfId="0" applyNumberFormat="1" applyFont="1" applyFill="1" applyAlignment="1">
      <alignment horizontal="center" vertical="center"/>
    </xf>
    <xf numFmtId="165" fontId="7" fillId="14" borderId="0" xfId="0" applyNumberFormat="1" applyFont="1" applyFill="1" applyAlignment="1">
      <alignment horizontal="center" vertical="center"/>
    </xf>
    <xf numFmtId="0" fontId="8" fillId="14" borderId="0" xfId="0" applyFont="1" applyFill="1" applyAlignment="1">
      <alignment horizontal="center"/>
    </xf>
    <xf numFmtId="165" fontId="3" fillId="14" borderId="0" xfId="0" applyNumberFormat="1" applyFont="1" applyFill="1" applyAlignment="1">
      <alignment horizontal="center"/>
    </xf>
    <xf numFmtId="0" fontId="10" fillId="15" borderId="0" xfId="0" applyFont="1" applyFill="1" applyAlignment="1">
      <alignment horizontal="center"/>
    </xf>
    <xf numFmtId="0" fontId="10" fillId="15" borderId="0" xfId="0" applyFont="1" applyFill="1"/>
    <xf numFmtId="0" fontId="14" fillId="15" borderId="0" xfId="2" applyFont="1" applyFill="1" applyAlignment="1">
      <alignment horizontal="center"/>
    </xf>
    <xf numFmtId="0" fontId="12" fillId="15" borderId="0" xfId="0" applyFont="1" applyFill="1" applyAlignment="1">
      <alignment horizontal="center"/>
    </xf>
    <xf numFmtId="166" fontId="10" fillId="15" borderId="0" xfId="5" applyNumberFormat="1" applyFont="1" applyFill="1"/>
    <xf numFmtId="166" fontId="7" fillId="3" borderId="16" xfId="5" applyNumberFormat="1" applyFont="1" applyFill="1" applyBorder="1" applyAlignment="1">
      <alignment horizontal="left" vertical="center"/>
    </xf>
    <xf numFmtId="166" fontId="7" fillId="3" borderId="13" xfId="5" applyNumberFormat="1" applyFont="1" applyFill="1" applyBorder="1" applyAlignment="1">
      <alignment horizontal="left" vertical="center"/>
    </xf>
    <xf numFmtId="166" fontId="7" fillId="3" borderId="14" xfId="5" applyNumberFormat="1" applyFont="1" applyFill="1" applyBorder="1" applyAlignment="1">
      <alignment horizontal="left" vertical="center"/>
    </xf>
    <xf numFmtId="9" fontId="7" fillId="3" borderId="3" xfId="1" applyFont="1" applyFill="1" applyBorder="1" applyAlignment="1">
      <alignment horizontal="left" vertical="center"/>
    </xf>
    <xf numFmtId="9" fontId="7" fillId="3" borderId="4" xfId="1" applyFont="1" applyFill="1" applyBorder="1" applyAlignment="1">
      <alignment horizontal="left" vertical="center"/>
    </xf>
    <xf numFmtId="9" fontId="7" fillId="3" borderId="5" xfId="1" applyFont="1" applyFill="1" applyBorder="1" applyAlignment="1">
      <alignment horizontal="left" vertical="center"/>
    </xf>
    <xf numFmtId="165" fontId="1" fillId="6" borderId="6" xfId="0" applyNumberFormat="1" applyFont="1" applyFill="1" applyBorder="1" applyAlignment="1">
      <alignment horizontal="center" vertical="center"/>
    </xf>
    <xf numFmtId="165" fontId="1" fillId="6" borderId="7" xfId="0" applyNumberFormat="1" applyFont="1" applyFill="1" applyBorder="1" applyAlignment="1">
      <alignment horizontal="center" vertical="center"/>
    </xf>
    <xf numFmtId="165" fontId="1" fillId="6" borderId="8" xfId="0" applyNumberFormat="1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0" fontId="13" fillId="7" borderId="8" xfId="0" applyFont="1" applyFill="1" applyBorder="1" applyAlignment="1">
      <alignment horizontal="center" vertical="center"/>
    </xf>
  </cellXfs>
  <cellStyles count="8">
    <cellStyle name="Comma" xfId="5" builtinId="3"/>
    <cellStyle name="Comma 2" xfId="3" xr:uid="{45825A1A-BD24-4F17-93C8-0F01E4CF325B}"/>
    <cellStyle name="Comma 7" xfId="4" xr:uid="{2BAE5647-086C-40D4-87A8-13A6E63EA006}"/>
    <cellStyle name="Normal" xfId="0" builtinId="0"/>
    <cellStyle name="Normal 2" xfId="2" xr:uid="{F828E20D-24E9-4870-8F34-BC726932CEAF}"/>
    <cellStyle name="Normal 2 4" xfId="6" xr:uid="{0F598BFD-EA62-47F9-AFCF-885105CF0CA9}"/>
    <cellStyle name="Normal 9" xfId="7" xr:uid="{FCED15CA-E351-44AC-8B96-B8A6C48D4484}"/>
    <cellStyle name="Percent" xfId="1" builtinId="5"/>
  </cellStyles>
  <dxfs count="0"/>
  <tableStyles count="0" defaultTableStyle="TableStyleMedium2" defaultPivotStyle="PivotStyleLight16"/>
  <colors>
    <mruColors>
      <color rgb="FF4F21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ngh, Jatin" id="{C3AC5004-01EF-473D-99F2-62C38B4229A6}" userId="Singh, Jati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4137"/>
  <sheetViews>
    <sheetView workbookViewId="0">
      <selection activeCell="L6" sqref="L6"/>
    </sheetView>
  </sheetViews>
  <sheetFormatPr defaultRowHeight="14.4" x14ac:dyDescent="0.3"/>
  <cols>
    <col min="4" max="4" width="10.77734375" bestFit="1" customWidth="1"/>
    <col min="5" max="5" width="17.5546875" bestFit="1" customWidth="1"/>
    <col min="8" max="8" width="0" hidden="1" customWidth="1"/>
    <col min="9" max="9" width="1.109375" customWidth="1"/>
  </cols>
  <sheetData>
    <row r="1" spans="1:105" x14ac:dyDescent="0.3">
      <c r="A1" s="32"/>
      <c r="H1" s="15"/>
      <c r="J1" s="16" t="str">
        <f>"Throughput|"&amp;J3</f>
        <v>Throughput|Jan-25</v>
      </c>
      <c r="K1" s="16" t="str">
        <f t="shared" ref="K1:BE1" si="0">"Throughput|"&amp;K3</f>
        <v>Throughput|Feb-25</v>
      </c>
      <c r="L1" s="16" t="str">
        <f t="shared" si="0"/>
        <v>Throughput|Mar-25</v>
      </c>
      <c r="M1" s="16" t="str">
        <f t="shared" si="0"/>
        <v>Throughput|Apr-25</v>
      </c>
      <c r="N1" s="16" t="str">
        <f t="shared" si="0"/>
        <v>Throughput|May-25</v>
      </c>
      <c r="O1" s="16" t="str">
        <f t="shared" si="0"/>
        <v>Throughput|Jun-25</v>
      </c>
      <c r="P1" s="16" t="str">
        <f t="shared" si="0"/>
        <v>Throughput|Jul-25</v>
      </c>
      <c r="Q1" s="16" t="str">
        <f t="shared" si="0"/>
        <v>Throughput|Aug-25</v>
      </c>
      <c r="R1" s="16" t="str">
        <f t="shared" si="0"/>
        <v>Throughput|Sep-25</v>
      </c>
      <c r="S1" s="16" t="str">
        <f t="shared" si="0"/>
        <v>Throughput|Oct-25</v>
      </c>
      <c r="T1" s="16" t="str">
        <f t="shared" si="0"/>
        <v>Throughput|Nov-25</v>
      </c>
      <c r="U1" s="16" t="str">
        <f t="shared" si="0"/>
        <v>Throughput|Dec-25</v>
      </c>
      <c r="V1" s="16" t="str">
        <f t="shared" si="0"/>
        <v>Throughput|Jan-26</v>
      </c>
      <c r="W1" s="16" t="str">
        <f t="shared" si="0"/>
        <v>Throughput|Feb-26</v>
      </c>
      <c r="X1" s="16" t="str">
        <f t="shared" si="0"/>
        <v>Throughput|Mar-26</v>
      </c>
      <c r="Y1" s="16" t="str">
        <f t="shared" si="0"/>
        <v>Throughput|Apr-26</v>
      </c>
      <c r="Z1" s="16" t="str">
        <f t="shared" si="0"/>
        <v>Throughput|May-26</v>
      </c>
      <c r="AA1" s="16" t="str">
        <f t="shared" si="0"/>
        <v>Throughput|Jun-26</v>
      </c>
      <c r="AB1" s="16" t="str">
        <f t="shared" si="0"/>
        <v>Throughput|Jul-26</v>
      </c>
      <c r="AC1" s="16" t="str">
        <f t="shared" si="0"/>
        <v>Throughput|Aug-26</v>
      </c>
      <c r="AD1" s="16" t="str">
        <f t="shared" si="0"/>
        <v>Throughput|Sep-26</v>
      </c>
      <c r="AE1" s="16" t="str">
        <f t="shared" si="0"/>
        <v>Throughput|Oct-26</v>
      </c>
      <c r="AF1" s="16" t="str">
        <f t="shared" si="0"/>
        <v>Throughput|Nov-26</v>
      </c>
      <c r="AG1" s="16" t="str">
        <f t="shared" si="0"/>
        <v>Throughput|Dec-26</v>
      </c>
      <c r="AH1" s="16" t="str">
        <f t="shared" si="0"/>
        <v>Throughput|Jan-27</v>
      </c>
      <c r="AI1" s="16" t="str">
        <f t="shared" si="0"/>
        <v>Throughput|Feb-27</v>
      </c>
      <c r="AJ1" s="16" t="str">
        <f t="shared" si="0"/>
        <v>Throughput|Mar-27</v>
      </c>
      <c r="AK1" s="16" t="str">
        <f t="shared" si="0"/>
        <v>Throughput|Apr-27</v>
      </c>
      <c r="AL1" s="16" t="str">
        <f t="shared" si="0"/>
        <v>Throughput|May-27</v>
      </c>
      <c r="AM1" s="16" t="str">
        <f t="shared" si="0"/>
        <v>Throughput|Jun-27</v>
      </c>
      <c r="AN1" s="16" t="str">
        <f t="shared" si="0"/>
        <v>Throughput|Jul-27</v>
      </c>
      <c r="AO1" s="16" t="str">
        <f t="shared" si="0"/>
        <v>Throughput|Aug-27</v>
      </c>
      <c r="AP1" s="16" t="str">
        <f t="shared" si="0"/>
        <v>Throughput|Sep-27</v>
      </c>
      <c r="AQ1" s="16" t="str">
        <f t="shared" si="0"/>
        <v>Throughput|Oct-27</v>
      </c>
      <c r="AR1" s="16" t="str">
        <f t="shared" si="0"/>
        <v>Throughput|Nov-27</v>
      </c>
      <c r="AS1" s="16" t="str">
        <f t="shared" si="0"/>
        <v>Throughput|Dec-27</v>
      </c>
      <c r="AT1" s="16" t="str">
        <f t="shared" si="0"/>
        <v>Throughput|Jan-28</v>
      </c>
      <c r="AU1" s="16" t="str">
        <f t="shared" si="0"/>
        <v>Throughput|Feb-28</v>
      </c>
      <c r="AV1" s="16" t="str">
        <f t="shared" si="0"/>
        <v>Throughput|Mar-28</v>
      </c>
      <c r="AW1" s="16" t="str">
        <f t="shared" si="0"/>
        <v>Throughput|Apr-28</v>
      </c>
      <c r="AX1" s="16" t="str">
        <f t="shared" si="0"/>
        <v>Throughput|May-28</v>
      </c>
      <c r="AY1" s="16" t="str">
        <f t="shared" si="0"/>
        <v>Throughput|Jun-28</v>
      </c>
      <c r="AZ1" s="16" t="str">
        <f t="shared" si="0"/>
        <v>Throughput|Jul-28</v>
      </c>
      <c r="BA1" s="16" t="str">
        <f t="shared" si="0"/>
        <v>Throughput|Aug-28</v>
      </c>
      <c r="BB1" s="16" t="str">
        <f t="shared" si="0"/>
        <v>Throughput|Sep-28</v>
      </c>
      <c r="BC1" s="16" t="str">
        <f t="shared" si="0"/>
        <v>Throughput|Oct-28</v>
      </c>
      <c r="BD1" s="16" t="str">
        <f t="shared" si="0"/>
        <v>Throughput|Nov-28</v>
      </c>
      <c r="BE1" s="16" t="str">
        <f t="shared" si="0"/>
        <v>Throughput|Dec-28</v>
      </c>
      <c r="BF1" s="17" t="str">
        <f>"GE|"&amp;BF3</f>
        <v>GE|Jan-25</v>
      </c>
      <c r="BG1" s="17" t="str">
        <f t="shared" ref="BG1:DA1" si="1">"GE|"&amp;BG3</f>
        <v>GE|Feb-25</v>
      </c>
      <c r="BH1" s="17" t="str">
        <f t="shared" si="1"/>
        <v>GE|Mar-25</v>
      </c>
      <c r="BI1" s="17" t="str">
        <f t="shared" si="1"/>
        <v>GE|Apr-25</v>
      </c>
      <c r="BJ1" s="17" t="str">
        <f t="shared" si="1"/>
        <v>GE|May-25</v>
      </c>
      <c r="BK1" s="17" t="str">
        <f t="shared" si="1"/>
        <v>GE|Jun-25</v>
      </c>
      <c r="BL1" s="17" t="str">
        <f t="shared" si="1"/>
        <v>GE|Jul-25</v>
      </c>
      <c r="BM1" s="17" t="str">
        <f t="shared" si="1"/>
        <v>GE|Aug-25</v>
      </c>
      <c r="BN1" s="17" t="str">
        <f t="shared" si="1"/>
        <v>GE|Sep-25</v>
      </c>
      <c r="BO1" s="17" t="str">
        <f t="shared" si="1"/>
        <v>GE|Oct-25</v>
      </c>
      <c r="BP1" s="17" t="str">
        <f t="shared" si="1"/>
        <v>GE|Nov-25</v>
      </c>
      <c r="BQ1" s="17" t="str">
        <f t="shared" si="1"/>
        <v>GE|Dec-25</v>
      </c>
      <c r="BR1" s="17" t="str">
        <f t="shared" si="1"/>
        <v>GE|Jan-26</v>
      </c>
      <c r="BS1" s="17" t="str">
        <f t="shared" si="1"/>
        <v>GE|Feb-26</v>
      </c>
      <c r="BT1" s="17" t="str">
        <f t="shared" si="1"/>
        <v>GE|Mar-26</v>
      </c>
      <c r="BU1" s="17" t="str">
        <f t="shared" si="1"/>
        <v>GE|Apr-26</v>
      </c>
      <c r="BV1" s="17" t="str">
        <f t="shared" si="1"/>
        <v>GE|May-26</v>
      </c>
      <c r="BW1" s="17" t="str">
        <f t="shared" si="1"/>
        <v>GE|Jun-26</v>
      </c>
      <c r="BX1" s="17" t="str">
        <f t="shared" si="1"/>
        <v>GE|Jul-26</v>
      </c>
      <c r="BY1" s="17" t="str">
        <f t="shared" si="1"/>
        <v>GE|Aug-26</v>
      </c>
      <c r="BZ1" s="17" t="str">
        <f t="shared" si="1"/>
        <v>GE|Sep-26</v>
      </c>
      <c r="CA1" s="17" t="str">
        <f t="shared" si="1"/>
        <v>GE|Oct-26</v>
      </c>
      <c r="CB1" s="17" t="str">
        <f t="shared" si="1"/>
        <v>GE|Nov-26</v>
      </c>
      <c r="CC1" s="17" t="str">
        <f t="shared" si="1"/>
        <v>GE|Dec-26</v>
      </c>
      <c r="CD1" s="17" t="str">
        <f t="shared" si="1"/>
        <v>GE|Jan-27</v>
      </c>
      <c r="CE1" s="17" t="str">
        <f t="shared" si="1"/>
        <v>GE|Feb-27</v>
      </c>
      <c r="CF1" s="17" t="str">
        <f t="shared" si="1"/>
        <v>GE|Mar-27</v>
      </c>
      <c r="CG1" s="17" t="str">
        <f t="shared" si="1"/>
        <v>GE|Apr-27</v>
      </c>
      <c r="CH1" s="17" t="str">
        <f t="shared" si="1"/>
        <v>GE|May-27</v>
      </c>
      <c r="CI1" s="17" t="str">
        <f t="shared" si="1"/>
        <v>GE|Jun-27</v>
      </c>
      <c r="CJ1" s="17" t="str">
        <f t="shared" si="1"/>
        <v>GE|Jul-27</v>
      </c>
      <c r="CK1" s="17" t="str">
        <f t="shared" si="1"/>
        <v>GE|Aug-27</v>
      </c>
      <c r="CL1" s="17" t="str">
        <f t="shared" si="1"/>
        <v>GE|Sep-27</v>
      </c>
      <c r="CM1" s="17" t="str">
        <f t="shared" si="1"/>
        <v>GE|Oct-27</v>
      </c>
      <c r="CN1" s="17" t="str">
        <f t="shared" si="1"/>
        <v>GE|Nov-27</v>
      </c>
      <c r="CO1" s="17" t="str">
        <f t="shared" si="1"/>
        <v>GE|Dec-27</v>
      </c>
      <c r="CP1" s="17" t="str">
        <f t="shared" si="1"/>
        <v>GE|Jan-28</v>
      </c>
      <c r="CQ1" s="17" t="str">
        <f t="shared" si="1"/>
        <v>GE|Feb-28</v>
      </c>
      <c r="CR1" s="17" t="str">
        <f t="shared" si="1"/>
        <v>GE|Mar-28</v>
      </c>
      <c r="CS1" s="17" t="str">
        <f t="shared" si="1"/>
        <v>GE|Apr-28</v>
      </c>
      <c r="CT1" s="17" t="str">
        <f t="shared" si="1"/>
        <v>GE|May-28</v>
      </c>
      <c r="CU1" s="17" t="str">
        <f t="shared" si="1"/>
        <v>GE|Jun-28</v>
      </c>
      <c r="CV1" s="17" t="str">
        <f t="shared" si="1"/>
        <v>GE|Jul-28</v>
      </c>
      <c r="CW1" s="17" t="str">
        <f t="shared" si="1"/>
        <v>GE|Aug-28</v>
      </c>
      <c r="CX1" s="17" t="str">
        <f t="shared" si="1"/>
        <v>GE|Sep-28</v>
      </c>
      <c r="CY1" s="17" t="str">
        <f t="shared" si="1"/>
        <v>GE|Oct-28</v>
      </c>
      <c r="CZ1" s="17" t="str">
        <f t="shared" si="1"/>
        <v>GE|Nov-28</v>
      </c>
      <c r="DA1" s="17" t="str">
        <f t="shared" si="1"/>
        <v>GE|Dec-28</v>
      </c>
    </row>
    <row r="2" spans="1:105" x14ac:dyDescent="0.3">
      <c r="F2" s="54" t="s">
        <v>160</v>
      </c>
      <c r="G2" s="55"/>
      <c r="H2" s="56"/>
      <c r="I2" s="39"/>
      <c r="J2" s="48" t="s">
        <v>161</v>
      </c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50"/>
      <c r="BF2" s="51" t="s">
        <v>162</v>
      </c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3"/>
    </row>
    <row r="3" spans="1:105" x14ac:dyDescent="0.3">
      <c r="A3" s="33" t="s">
        <v>163</v>
      </c>
      <c r="B3" s="4" t="s">
        <v>164</v>
      </c>
      <c r="C3" s="4" t="s">
        <v>22</v>
      </c>
      <c r="D3" s="5" t="s">
        <v>165</v>
      </c>
      <c r="E3" s="5" t="s">
        <v>166</v>
      </c>
      <c r="F3" s="36" t="s">
        <v>167</v>
      </c>
      <c r="G3" s="36" t="s">
        <v>168</v>
      </c>
      <c r="H3" s="37" t="s">
        <v>169</v>
      </c>
      <c r="I3" s="40"/>
      <c r="J3" s="38" t="s">
        <v>170</v>
      </c>
      <c r="K3" s="6" t="s">
        <v>171</v>
      </c>
      <c r="L3" s="6" t="s">
        <v>172</v>
      </c>
      <c r="M3" s="6" t="s">
        <v>173</v>
      </c>
      <c r="N3" s="6" t="s">
        <v>174</v>
      </c>
      <c r="O3" s="6" t="s">
        <v>175</v>
      </c>
      <c r="P3" s="6" t="s">
        <v>176</v>
      </c>
      <c r="Q3" s="6" t="s">
        <v>177</v>
      </c>
      <c r="R3" s="6" t="s">
        <v>20</v>
      </c>
      <c r="S3" s="6" t="s">
        <v>178</v>
      </c>
      <c r="T3" s="6" t="s">
        <v>179</v>
      </c>
      <c r="U3" s="6" t="s">
        <v>180</v>
      </c>
      <c r="V3" s="6" t="s">
        <v>181</v>
      </c>
      <c r="W3" s="6" t="s">
        <v>21</v>
      </c>
      <c r="X3" s="6" t="s">
        <v>182</v>
      </c>
      <c r="Y3" s="6" t="s">
        <v>183</v>
      </c>
      <c r="Z3" s="6" t="s">
        <v>184</v>
      </c>
      <c r="AA3" s="6" t="s">
        <v>185</v>
      </c>
      <c r="AB3" s="6" t="s">
        <v>186</v>
      </c>
      <c r="AC3" s="6" t="s">
        <v>187</v>
      </c>
      <c r="AD3" s="6" t="s">
        <v>188</v>
      </c>
      <c r="AE3" s="6" t="s">
        <v>189</v>
      </c>
      <c r="AF3" s="6" t="s">
        <v>190</v>
      </c>
      <c r="AG3" s="6" t="s">
        <v>191</v>
      </c>
      <c r="AH3" s="6" t="s">
        <v>192</v>
      </c>
      <c r="AI3" s="6" t="s">
        <v>193</v>
      </c>
      <c r="AJ3" s="6" t="s">
        <v>194</v>
      </c>
      <c r="AK3" s="6" t="s">
        <v>195</v>
      </c>
      <c r="AL3" s="6" t="s">
        <v>196</v>
      </c>
      <c r="AM3" s="6" t="s">
        <v>197</v>
      </c>
      <c r="AN3" s="6" t="s">
        <v>198</v>
      </c>
      <c r="AO3" s="6" t="s">
        <v>199</v>
      </c>
      <c r="AP3" s="6" t="s">
        <v>200</v>
      </c>
      <c r="AQ3" s="6" t="s">
        <v>201</v>
      </c>
      <c r="AR3" s="6" t="s">
        <v>202</v>
      </c>
      <c r="AS3" s="6" t="s">
        <v>203</v>
      </c>
      <c r="AT3" s="6" t="s">
        <v>204</v>
      </c>
      <c r="AU3" s="6" t="s">
        <v>205</v>
      </c>
      <c r="AV3" s="6" t="s">
        <v>206</v>
      </c>
      <c r="AW3" s="6" t="s">
        <v>207</v>
      </c>
      <c r="AX3" s="6" t="s">
        <v>208</v>
      </c>
      <c r="AY3" s="6" t="s">
        <v>209</v>
      </c>
      <c r="AZ3" s="6" t="s">
        <v>210</v>
      </c>
      <c r="BA3" s="6" t="s">
        <v>211</v>
      </c>
      <c r="BB3" s="6" t="s">
        <v>212</v>
      </c>
      <c r="BC3" s="6" t="s">
        <v>213</v>
      </c>
      <c r="BD3" s="6" t="s">
        <v>214</v>
      </c>
      <c r="BE3" s="7" t="s">
        <v>215</v>
      </c>
      <c r="BF3" s="8" t="s">
        <v>170</v>
      </c>
      <c r="BG3" s="9" t="s">
        <v>171</v>
      </c>
      <c r="BH3" s="10" t="s">
        <v>172</v>
      </c>
      <c r="BI3" s="10" t="s">
        <v>173</v>
      </c>
      <c r="BJ3" s="10" t="s">
        <v>174</v>
      </c>
      <c r="BK3" s="10" t="s">
        <v>175</v>
      </c>
      <c r="BL3" s="10" t="s">
        <v>176</v>
      </c>
      <c r="BM3" s="10" t="s">
        <v>177</v>
      </c>
      <c r="BN3" s="10" t="s">
        <v>20</v>
      </c>
      <c r="BO3" s="10" t="s">
        <v>178</v>
      </c>
      <c r="BP3" s="10" t="s">
        <v>179</v>
      </c>
      <c r="BQ3" s="10" t="s">
        <v>180</v>
      </c>
      <c r="BR3" s="10" t="s">
        <v>181</v>
      </c>
      <c r="BS3" s="10" t="s">
        <v>21</v>
      </c>
      <c r="BT3" s="10" t="s">
        <v>182</v>
      </c>
      <c r="BU3" s="10" t="s">
        <v>183</v>
      </c>
      <c r="BV3" s="10" t="s">
        <v>184</v>
      </c>
      <c r="BW3" s="10" t="s">
        <v>185</v>
      </c>
      <c r="BX3" s="10" t="s">
        <v>186</v>
      </c>
      <c r="BY3" s="10" t="s">
        <v>187</v>
      </c>
      <c r="BZ3" s="10" t="s">
        <v>188</v>
      </c>
      <c r="CA3" s="10" t="s">
        <v>189</v>
      </c>
      <c r="CB3" s="10" t="s">
        <v>190</v>
      </c>
      <c r="CC3" s="10" t="s">
        <v>191</v>
      </c>
      <c r="CD3" s="10" t="s">
        <v>192</v>
      </c>
      <c r="CE3" s="10" t="s">
        <v>193</v>
      </c>
      <c r="CF3" s="10" t="s">
        <v>194</v>
      </c>
      <c r="CG3" s="10" t="s">
        <v>195</v>
      </c>
      <c r="CH3" s="10" t="s">
        <v>196</v>
      </c>
      <c r="CI3" s="10" t="s">
        <v>197</v>
      </c>
      <c r="CJ3" s="10" t="s">
        <v>198</v>
      </c>
      <c r="CK3" s="10" t="s">
        <v>199</v>
      </c>
      <c r="CL3" s="10" t="s">
        <v>200</v>
      </c>
      <c r="CM3" s="10" t="s">
        <v>201</v>
      </c>
      <c r="CN3" s="10" t="s">
        <v>202</v>
      </c>
      <c r="CO3" s="10" t="s">
        <v>203</v>
      </c>
      <c r="CP3" s="10" t="s">
        <v>204</v>
      </c>
      <c r="CQ3" s="10" t="s">
        <v>205</v>
      </c>
      <c r="CR3" s="10" t="s">
        <v>206</v>
      </c>
      <c r="CS3" s="10" t="s">
        <v>207</v>
      </c>
      <c r="CT3" s="10" t="s">
        <v>208</v>
      </c>
      <c r="CU3" s="10" t="s">
        <v>209</v>
      </c>
      <c r="CV3" s="10" t="s">
        <v>210</v>
      </c>
      <c r="CW3" s="10" t="s">
        <v>211</v>
      </c>
      <c r="CX3" s="10" t="s">
        <v>212</v>
      </c>
      <c r="CY3" s="10" t="s">
        <v>213</v>
      </c>
      <c r="CZ3" s="10" t="s">
        <v>214</v>
      </c>
      <c r="DA3" s="11" t="s">
        <v>215</v>
      </c>
    </row>
    <row r="4" spans="1:105" x14ac:dyDescent="0.3">
      <c r="A4" s="34" t="str">
        <f>C4&amp;E4</f>
        <v>Makson - SBVL Cranb small</v>
      </c>
      <c r="B4" s="20" t="s">
        <v>216</v>
      </c>
      <c r="C4" s="20" t="s">
        <v>5</v>
      </c>
      <c r="D4" s="19" t="s">
        <v>217</v>
      </c>
      <c r="E4" s="18" t="s">
        <v>218</v>
      </c>
      <c r="F4" s="30">
        <v>1</v>
      </c>
      <c r="G4" s="30">
        <v>3</v>
      </c>
      <c r="H4" s="30">
        <v>30</v>
      </c>
      <c r="I4" s="41"/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>
        <v>302.40000000000003</v>
      </c>
      <c r="AD4" s="21">
        <v>302.40000000000003</v>
      </c>
      <c r="AE4" s="21">
        <v>302.40000000000003</v>
      </c>
      <c r="AF4" s="21">
        <v>302.40000000000003</v>
      </c>
      <c r="AG4" s="21">
        <v>302.40000000000003</v>
      </c>
      <c r="AH4" s="21">
        <v>302.40000000000003</v>
      </c>
      <c r="AI4" s="21"/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0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0</v>
      </c>
      <c r="AY4" s="21">
        <v>0</v>
      </c>
      <c r="AZ4" s="21">
        <v>0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30">
        <v>1</v>
      </c>
      <c r="BG4" s="30">
        <v>1</v>
      </c>
      <c r="BH4" s="30">
        <v>1</v>
      </c>
      <c r="BI4" s="30">
        <v>1</v>
      </c>
      <c r="BJ4" s="30">
        <v>1</v>
      </c>
      <c r="BK4" s="30">
        <v>1</v>
      </c>
      <c r="BL4" s="30">
        <v>1</v>
      </c>
      <c r="BM4" s="30">
        <v>1</v>
      </c>
      <c r="BN4" s="30">
        <v>1</v>
      </c>
      <c r="BO4" s="30">
        <v>1</v>
      </c>
      <c r="BP4" s="30">
        <v>1</v>
      </c>
      <c r="BQ4" s="30">
        <v>1</v>
      </c>
      <c r="BR4" s="30">
        <v>1</v>
      </c>
      <c r="BS4" s="30">
        <v>1</v>
      </c>
      <c r="BT4" s="30">
        <v>1</v>
      </c>
      <c r="BU4" s="30">
        <v>1</v>
      </c>
      <c r="BV4" s="30">
        <v>1</v>
      </c>
      <c r="BW4" s="30">
        <v>1</v>
      </c>
      <c r="BX4" s="30">
        <v>1</v>
      </c>
      <c r="BY4" s="30">
        <v>1</v>
      </c>
      <c r="BZ4" s="30">
        <v>1</v>
      </c>
      <c r="CA4" s="30">
        <v>1</v>
      </c>
      <c r="CB4" s="30">
        <v>1</v>
      </c>
      <c r="CC4" s="30">
        <v>1</v>
      </c>
      <c r="CD4" s="30">
        <v>1</v>
      </c>
      <c r="CE4" s="30">
        <v>1</v>
      </c>
      <c r="CF4" s="30">
        <v>1</v>
      </c>
      <c r="CG4" s="30">
        <v>1</v>
      </c>
      <c r="CH4" s="30">
        <v>1</v>
      </c>
      <c r="CI4" s="30">
        <v>1</v>
      </c>
      <c r="CJ4" s="30">
        <v>1</v>
      </c>
      <c r="CK4" s="30">
        <v>1</v>
      </c>
      <c r="CL4" s="30">
        <v>1</v>
      </c>
      <c r="CM4" s="30">
        <v>1</v>
      </c>
      <c r="CN4" s="30">
        <v>1</v>
      </c>
      <c r="CO4" s="30">
        <v>1</v>
      </c>
      <c r="CP4" s="30">
        <v>1</v>
      </c>
      <c r="CQ4" s="30">
        <v>1</v>
      </c>
      <c r="CR4" s="30">
        <v>1</v>
      </c>
      <c r="CS4" s="30">
        <v>1</v>
      </c>
      <c r="CT4" s="30">
        <v>1</v>
      </c>
      <c r="CU4" s="30">
        <v>1</v>
      </c>
      <c r="CV4" s="30">
        <v>1</v>
      </c>
      <c r="CW4" s="30">
        <v>1</v>
      </c>
      <c r="CX4" s="30">
        <v>1</v>
      </c>
      <c r="CY4" s="30">
        <v>1</v>
      </c>
      <c r="CZ4" s="30">
        <v>1</v>
      </c>
      <c r="DA4" s="30">
        <v>1</v>
      </c>
    </row>
    <row r="5" spans="1:105" x14ac:dyDescent="0.3">
      <c r="A5" s="34" t="str">
        <f t="shared" ref="A5:A71" si="2">C5&amp;E5</f>
        <v>Makson - SBVL FN Small</v>
      </c>
      <c r="B5" s="20" t="s">
        <v>216</v>
      </c>
      <c r="C5" s="20" t="s">
        <v>5</v>
      </c>
      <c r="D5" s="19" t="s">
        <v>217</v>
      </c>
      <c r="E5" s="18" t="s">
        <v>79</v>
      </c>
      <c r="F5" s="30">
        <v>1</v>
      </c>
      <c r="G5" s="30">
        <v>3</v>
      </c>
      <c r="H5" s="30">
        <v>30</v>
      </c>
      <c r="I5" s="41"/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>
        <v>302.40000000000003</v>
      </c>
      <c r="AD5" s="21">
        <v>302.40000000000003</v>
      </c>
      <c r="AE5" s="21">
        <v>302.40000000000003</v>
      </c>
      <c r="AF5" s="21">
        <v>302.40000000000003</v>
      </c>
      <c r="AG5" s="21">
        <v>302.40000000000003</v>
      </c>
      <c r="AH5" s="21">
        <v>302.40000000000003</v>
      </c>
      <c r="AI5" s="21"/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30">
        <v>1</v>
      </c>
      <c r="BG5" s="30">
        <v>1</v>
      </c>
      <c r="BH5" s="30">
        <v>1</v>
      </c>
      <c r="BI5" s="30">
        <v>1</v>
      </c>
      <c r="BJ5" s="30">
        <v>1</v>
      </c>
      <c r="BK5" s="30">
        <v>1</v>
      </c>
      <c r="BL5" s="30">
        <v>1</v>
      </c>
      <c r="BM5" s="30">
        <v>1</v>
      </c>
      <c r="BN5" s="30">
        <v>1</v>
      </c>
      <c r="BO5" s="30">
        <v>1</v>
      </c>
      <c r="BP5" s="30">
        <v>1</v>
      </c>
      <c r="BQ5" s="30">
        <v>1</v>
      </c>
      <c r="BR5" s="30">
        <v>1</v>
      </c>
      <c r="BS5" s="30">
        <v>1</v>
      </c>
      <c r="BT5" s="30">
        <v>1</v>
      </c>
      <c r="BU5" s="30">
        <v>1</v>
      </c>
      <c r="BV5" s="30">
        <v>1</v>
      </c>
      <c r="BW5" s="30">
        <v>1</v>
      </c>
      <c r="BX5" s="30">
        <v>1</v>
      </c>
      <c r="BY5" s="30">
        <v>1</v>
      </c>
      <c r="BZ5" s="30">
        <v>1</v>
      </c>
      <c r="CA5" s="30">
        <v>1</v>
      </c>
      <c r="CB5" s="30">
        <v>1</v>
      </c>
      <c r="CC5" s="30">
        <v>1</v>
      </c>
      <c r="CD5" s="30">
        <v>1</v>
      </c>
      <c r="CE5" s="30">
        <v>1</v>
      </c>
      <c r="CF5" s="30">
        <v>1</v>
      </c>
      <c r="CG5" s="30">
        <v>1</v>
      </c>
      <c r="CH5" s="30">
        <v>1</v>
      </c>
      <c r="CI5" s="30">
        <v>1</v>
      </c>
      <c r="CJ5" s="30">
        <v>1</v>
      </c>
      <c r="CK5" s="30">
        <v>1</v>
      </c>
      <c r="CL5" s="30">
        <v>1</v>
      </c>
      <c r="CM5" s="30">
        <v>1</v>
      </c>
      <c r="CN5" s="30">
        <v>1</v>
      </c>
      <c r="CO5" s="30">
        <v>1</v>
      </c>
      <c r="CP5" s="30">
        <v>1</v>
      </c>
      <c r="CQ5" s="30">
        <v>1</v>
      </c>
      <c r="CR5" s="30">
        <v>1</v>
      </c>
      <c r="CS5" s="30">
        <v>1</v>
      </c>
      <c r="CT5" s="30">
        <v>1</v>
      </c>
      <c r="CU5" s="30">
        <v>1</v>
      </c>
      <c r="CV5" s="30">
        <v>1</v>
      </c>
      <c r="CW5" s="30">
        <v>1</v>
      </c>
      <c r="CX5" s="30">
        <v>1</v>
      </c>
      <c r="CY5" s="30">
        <v>1</v>
      </c>
      <c r="CZ5" s="30">
        <v>1</v>
      </c>
      <c r="DA5" s="30">
        <v>1</v>
      </c>
    </row>
    <row r="6" spans="1:105" x14ac:dyDescent="0.3">
      <c r="A6" s="34" t="str">
        <f t="shared" si="2"/>
        <v>Makson - SBVL RR</v>
      </c>
      <c r="B6" s="20" t="s">
        <v>216</v>
      </c>
      <c r="C6" s="20" t="s">
        <v>5</v>
      </c>
      <c r="D6" s="19" t="s">
        <v>217</v>
      </c>
      <c r="E6" s="18" t="s">
        <v>78</v>
      </c>
      <c r="F6" s="30">
        <v>1</v>
      </c>
      <c r="G6" s="30">
        <v>2</v>
      </c>
      <c r="H6" s="30">
        <v>30</v>
      </c>
      <c r="I6" s="41"/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>
        <v>500</v>
      </c>
      <c r="AD6" s="21">
        <v>500</v>
      </c>
      <c r="AE6" s="21">
        <v>500</v>
      </c>
      <c r="AF6" s="21">
        <v>500</v>
      </c>
      <c r="AG6" s="21">
        <v>500</v>
      </c>
      <c r="AH6" s="21">
        <v>500</v>
      </c>
      <c r="AI6" s="21"/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30">
        <v>1</v>
      </c>
      <c r="BG6" s="30">
        <v>1</v>
      </c>
      <c r="BH6" s="30">
        <v>1</v>
      </c>
      <c r="BI6" s="30">
        <v>1</v>
      </c>
      <c r="BJ6" s="30">
        <v>1</v>
      </c>
      <c r="BK6" s="30">
        <v>1</v>
      </c>
      <c r="BL6" s="30">
        <v>1</v>
      </c>
      <c r="BM6" s="30">
        <v>1</v>
      </c>
      <c r="BN6" s="30">
        <v>1</v>
      </c>
      <c r="BO6" s="30">
        <v>1</v>
      </c>
      <c r="BP6" s="30">
        <v>1</v>
      </c>
      <c r="BQ6" s="30">
        <v>1</v>
      </c>
      <c r="BR6" s="30">
        <v>1</v>
      </c>
      <c r="BS6" s="30">
        <v>1</v>
      </c>
      <c r="BT6" s="30">
        <v>1</v>
      </c>
      <c r="BU6" s="30">
        <v>1</v>
      </c>
      <c r="BV6" s="30">
        <v>1</v>
      </c>
      <c r="BW6" s="30">
        <v>1</v>
      </c>
      <c r="BX6" s="30">
        <v>1</v>
      </c>
      <c r="BY6" s="30">
        <v>1</v>
      </c>
      <c r="BZ6" s="30">
        <v>1</v>
      </c>
      <c r="CA6" s="30">
        <v>1</v>
      </c>
      <c r="CB6" s="30">
        <v>1</v>
      </c>
      <c r="CC6" s="30">
        <v>1</v>
      </c>
      <c r="CD6" s="30">
        <v>1</v>
      </c>
      <c r="CE6" s="30">
        <v>1</v>
      </c>
      <c r="CF6" s="30">
        <v>1</v>
      </c>
      <c r="CG6" s="30">
        <v>1</v>
      </c>
      <c r="CH6" s="30">
        <v>1</v>
      </c>
      <c r="CI6" s="30">
        <v>1</v>
      </c>
      <c r="CJ6" s="30">
        <v>1</v>
      </c>
      <c r="CK6" s="30">
        <v>1</v>
      </c>
      <c r="CL6" s="30">
        <v>1</v>
      </c>
      <c r="CM6" s="30">
        <v>1</v>
      </c>
      <c r="CN6" s="30">
        <v>1</v>
      </c>
      <c r="CO6" s="30">
        <v>1</v>
      </c>
      <c r="CP6" s="30">
        <v>1</v>
      </c>
      <c r="CQ6" s="30">
        <v>1</v>
      </c>
      <c r="CR6" s="30">
        <v>1</v>
      </c>
      <c r="CS6" s="30">
        <v>1</v>
      </c>
      <c r="CT6" s="30">
        <v>1</v>
      </c>
      <c r="CU6" s="30">
        <v>1</v>
      </c>
      <c r="CV6" s="30">
        <v>1</v>
      </c>
      <c r="CW6" s="30">
        <v>1</v>
      </c>
      <c r="CX6" s="30">
        <v>1</v>
      </c>
      <c r="CY6" s="30">
        <v>1</v>
      </c>
      <c r="CZ6" s="30">
        <v>1</v>
      </c>
      <c r="DA6" s="30">
        <v>1</v>
      </c>
    </row>
    <row r="7" spans="1:105" x14ac:dyDescent="0.3">
      <c r="A7" s="34" t="str">
        <f t="shared" si="2"/>
        <v>Sricity - 16KCDM 10</v>
      </c>
      <c r="B7" s="20" t="s">
        <v>81</v>
      </c>
      <c r="C7" s="20" t="s">
        <v>16</v>
      </c>
      <c r="D7" s="19" t="s">
        <v>23</v>
      </c>
      <c r="E7" s="18" t="s">
        <v>6</v>
      </c>
      <c r="F7" s="30">
        <v>2</v>
      </c>
      <c r="G7" s="30">
        <v>3</v>
      </c>
      <c r="H7" s="30">
        <v>30</v>
      </c>
      <c r="I7" s="41"/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>
        <v>1913.641304347826</v>
      </c>
      <c r="AD7" s="21">
        <v>1913.641304347826</v>
      </c>
      <c r="AE7" s="21">
        <v>1913.641304347826</v>
      </c>
      <c r="AF7" s="21">
        <v>1913.641304347826</v>
      </c>
      <c r="AG7" s="21">
        <v>1913.641304347826</v>
      </c>
      <c r="AH7" s="21">
        <v>1913.641304347826</v>
      </c>
      <c r="AI7" s="21"/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30">
        <v>1</v>
      </c>
      <c r="BG7" s="30">
        <v>1</v>
      </c>
      <c r="BH7" s="30">
        <v>1</v>
      </c>
      <c r="BI7" s="30">
        <v>1</v>
      </c>
      <c r="BJ7" s="30">
        <v>1</v>
      </c>
      <c r="BK7" s="30">
        <v>1</v>
      </c>
      <c r="BL7" s="30">
        <v>1</v>
      </c>
      <c r="BM7" s="30">
        <v>1</v>
      </c>
      <c r="BN7" s="30">
        <v>1</v>
      </c>
      <c r="BO7" s="30">
        <v>1</v>
      </c>
      <c r="BP7" s="30">
        <v>1</v>
      </c>
      <c r="BQ7" s="30">
        <v>1</v>
      </c>
      <c r="BR7" s="30">
        <v>1</v>
      </c>
      <c r="BS7" s="30">
        <v>1</v>
      </c>
      <c r="BT7" s="30">
        <v>1</v>
      </c>
      <c r="BU7" s="30">
        <v>1</v>
      </c>
      <c r="BV7" s="30">
        <v>1</v>
      </c>
      <c r="BW7" s="30">
        <v>1</v>
      </c>
      <c r="BX7" s="30">
        <v>1</v>
      </c>
      <c r="BY7" s="30">
        <v>1</v>
      </c>
      <c r="BZ7" s="30">
        <v>1</v>
      </c>
      <c r="CA7" s="30">
        <v>1</v>
      </c>
      <c r="CB7" s="30">
        <v>1</v>
      </c>
      <c r="CC7" s="30">
        <v>1</v>
      </c>
      <c r="CD7" s="30">
        <v>1</v>
      </c>
      <c r="CE7" s="30">
        <v>1</v>
      </c>
      <c r="CF7" s="30">
        <v>1</v>
      </c>
      <c r="CG7" s="30">
        <v>1</v>
      </c>
      <c r="CH7" s="30">
        <v>1</v>
      </c>
      <c r="CI7" s="30">
        <v>1</v>
      </c>
      <c r="CJ7" s="30">
        <v>1</v>
      </c>
      <c r="CK7" s="30">
        <v>1</v>
      </c>
      <c r="CL7" s="30">
        <v>1</v>
      </c>
      <c r="CM7" s="30">
        <v>1</v>
      </c>
      <c r="CN7" s="30">
        <v>1</v>
      </c>
      <c r="CO7" s="30">
        <v>1</v>
      </c>
      <c r="CP7" s="30">
        <v>1</v>
      </c>
      <c r="CQ7" s="30">
        <v>1</v>
      </c>
      <c r="CR7" s="30">
        <v>1</v>
      </c>
      <c r="CS7" s="30">
        <v>1</v>
      </c>
      <c r="CT7" s="30">
        <v>1</v>
      </c>
      <c r="CU7" s="30">
        <v>1</v>
      </c>
      <c r="CV7" s="30">
        <v>1</v>
      </c>
      <c r="CW7" s="30">
        <v>1</v>
      </c>
      <c r="CX7" s="30">
        <v>1</v>
      </c>
      <c r="CY7" s="30">
        <v>1</v>
      </c>
      <c r="CZ7" s="30">
        <v>1</v>
      </c>
      <c r="DA7" s="30">
        <v>1</v>
      </c>
    </row>
    <row r="8" spans="1:105" x14ac:dyDescent="0.3">
      <c r="A8" s="34" t="str">
        <f t="shared" si="2"/>
        <v>Sricity - LOFCDM 10</v>
      </c>
      <c r="B8" s="20" t="s">
        <v>81</v>
      </c>
      <c r="C8" s="27" t="s">
        <v>19</v>
      </c>
      <c r="D8" s="19" t="s">
        <v>23</v>
      </c>
      <c r="E8" s="18" t="s">
        <v>6</v>
      </c>
      <c r="F8" s="31">
        <v>6</v>
      </c>
      <c r="G8" s="30">
        <v>4</v>
      </c>
      <c r="H8" s="30">
        <v>30</v>
      </c>
      <c r="I8" s="41"/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>
        <v>1743.5398550724638</v>
      </c>
      <c r="AD8" s="21">
        <v>1743.5398550724638</v>
      </c>
      <c r="AE8" s="21">
        <v>1743.5398550724638</v>
      </c>
      <c r="AF8" s="21">
        <v>1743.5398550724638</v>
      </c>
      <c r="AG8" s="21">
        <v>1743.5398550724638</v>
      </c>
      <c r="AH8" s="21">
        <v>1743.5398550724638</v>
      </c>
      <c r="AI8" s="21"/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30">
        <v>1</v>
      </c>
      <c r="BG8" s="30">
        <v>1</v>
      </c>
      <c r="BH8" s="30">
        <v>1</v>
      </c>
      <c r="BI8" s="30">
        <v>1</v>
      </c>
      <c r="BJ8" s="30">
        <v>1</v>
      </c>
      <c r="BK8" s="30">
        <v>1</v>
      </c>
      <c r="BL8" s="30">
        <v>1</v>
      </c>
      <c r="BM8" s="30">
        <v>1</v>
      </c>
      <c r="BN8" s="30">
        <v>1</v>
      </c>
      <c r="BO8" s="30">
        <v>1</v>
      </c>
      <c r="BP8" s="30">
        <v>1</v>
      </c>
      <c r="BQ8" s="30">
        <v>1</v>
      </c>
      <c r="BR8" s="30">
        <v>1</v>
      </c>
      <c r="BS8" s="30">
        <v>1</v>
      </c>
      <c r="BT8" s="30">
        <v>1</v>
      </c>
      <c r="BU8" s="30">
        <v>1</v>
      </c>
      <c r="BV8" s="30">
        <v>1</v>
      </c>
      <c r="BW8" s="30">
        <v>1</v>
      </c>
      <c r="BX8" s="30">
        <v>1</v>
      </c>
      <c r="BY8" s="30">
        <v>1</v>
      </c>
      <c r="BZ8" s="30">
        <v>1</v>
      </c>
      <c r="CA8" s="30">
        <v>1</v>
      </c>
      <c r="CB8" s="30">
        <v>1</v>
      </c>
      <c r="CC8" s="30">
        <v>1</v>
      </c>
      <c r="CD8" s="30">
        <v>1</v>
      </c>
      <c r="CE8" s="30">
        <v>1</v>
      </c>
      <c r="CF8" s="30">
        <v>1</v>
      </c>
      <c r="CG8" s="30">
        <v>1</v>
      </c>
      <c r="CH8" s="30">
        <v>1</v>
      </c>
      <c r="CI8" s="30">
        <v>1</v>
      </c>
      <c r="CJ8" s="30">
        <v>1</v>
      </c>
      <c r="CK8" s="30">
        <v>1</v>
      </c>
      <c r="CL8" s="30">
        <v>1</v>
      </c>
      <c r="CM8" s="30">
        <v>1</v>
      </c>
      <c r="CN8" s="30">
        <v>1</v>
      </c>
      <c r="CO8" s="30">
        <v>1</v>
      </c>
      <c r="CP8" s="30">
        <v>1</v>
      </c>
      <c r="CQ8" s="30">
        <v>1</v>
      </c>
      <c r="CR8" s="30">
        <v>1</v>
      </c>
      <c r="CS8" s="30">
        <v>1</v>
      </c>
      <c r="CT8" s="30">
        <v>1</v>
      </c>
      <c r="CU8" s="30">
        <v>1</v>
      </c>
      <c r="CV8" s="30">
        <v>1</v>
      </c>
      <c r="CW8" s="30">
        <v>1</v>
      </c>
      <c r="CX8" s="30">
        <v>1</v>
      </c>
      <c r="CY8" s="30">
        <v>1</v>
      </c>
      <c r="CZ8" s="30">
        <v>1</v>
      </c>
      <c r="DA8" s="30">
        <v>1</v>
      </c>
    </row>
    <row r="9" spans="1:105" x14ac:dyDescent="0.3">
      <c r="A9" s="34" t="str">
        <f t="shared" si="2"/>
        <v>Baddi - DPCCDM 10</v>
      </c>
      <c r="B9" s="27" t="s">
        <v>36</v>
      </c>
      <c r="C9" s="27" t="s">
        <v>1</v>
      </c>
      <c r="D9" s="19" t="s">
        <v>23</v>
      </c>
      <c r="E9" s="18" t="s">
        <v>6</v>
      </c>
      <c r="F9" s="31">
        <v>1</v>
      </c>
      <c r="G9" s="30">
        <v>1</v>
      </c>
      <c r="H9" s="30">
        <v>30</v>
      </c>
      <c r="I9" s="41"/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>
        <v>1370.7986111111106</v>
      </c>
      <c r="AD9" s="21">
        <v>1370.7986111111106</v>
      </c>
      <c r="AE9" s="21">
        <v>1370.7986111111106</v>
      </c>
      <c r="AF9" s="21">
        <v>1370.7986111111106</v>
      </c>
      <c r="AG9" s="21">
        <v>1370.7986111111106</v>
      </c>
      <c r="AH9" s="21">
        <v>1370.7986111111106</v>
      </c>
      <c r="AI9" s="21"/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30">
        <v>1</v>
      </c>
      <c r="BG9" s="30">
        <v>1</v>
      </c>
      <c r="BH9" s="30">
        <v>1</v>
      </c>
      <c r="BI9" s="30">
        <v>1</v>
      </c>
      <c r="BJ9" s="30">
        <v>1</v>
      </c>
      <c r="BK9" s="30">
        <v>1</v>
      </c>
      <c r="BL9" s="30">
        <v>1</v>
      </c>
      <c r="BM9" s="30">
        <v>1</v>
      </c>
      <c r="BN9" s="30">
        <v>1</v>
      </c>
      <c r="BO9" s="30">
        <v>1</v>
      </c>
      <c r="BP9" s="30">
        <v>1</v>
      </c>
      <c r="BQ9" s="30">
        <v>1</v>
      </c>
      <c r="BR9" s="30">
        <v>1</v>
      </c>
      <c r="BS9" s="30">
        <v>1</v>
      </c>
      <c r="BT9" s="30">
        <v>1</v>
      </c>
      <c r="BU9" s="30">
        <v>1</v>
      </c>
      <c r="BV9" s="30">
        <v>1</v>
      </c>
      <c r="BW9" s="30">
        <v>1</v>
      </c>
      <c r="BX9" s="30">
        <v>1</v>
      </c>
      <c r="BY9" s="30">
        <v>1</v>
      </c>
      <c r="BZ9" s="30">
        <v>1</v>
      </c>
      <c r="CA9" s="30">
        <v>1</v>
      </c>
      <c r="CB9" s="30">
        <v>1</v>
      </c>
      <c r="CC9" s="30">
        <v>1</v>
      </c>
      <c r="CD9" s="30">
        <v>1</v>
      </c>
      <c r="CE9" s="30">
        <v>1</v>
      </c>
      <c r="CF9" s="30">
        <v>1</v>
      </c>
      <c r="CG9" s="30">
        <v>1</v>
      </c>
      <c r="CH9" s="30">
        <v>1</v>
      </c>
      <c r="CI9" s="30">
        <v>1</v>
      </c>
      <c r="CJ9" s="30">
        <v>1</v>
      </c>
      <c r="CK9" s="30">
        <v>1</v>
      </c>
      <c r="CL9" s="30">
        <v>1</v>
      </c>
      <c r="CM9" s="30">
        <v>1</v>
      </c>
      <c r="CN9" s="30">
        <v>1</v>
      </c>
      <c r="CO9" s="30">
        <v>1</v>
      </c>
      <c r="CP9" s="30">
        <v>1</v>
      </c>
      <c r="CQ9" s="30">
        <v>1</v>
      </c>
      <c r="CR9" s="30">
        <v>1</v>
      </c>
      <c r="CS9" s="30">
        <v>1</v>
      </c>
      <c r="CT9" s="30">
        <v>1</v>
      </c>
      <c r="CU9" s="30">
        <v>1</v>
      </c>
      <c r="CV9" s="30">
        <v>1</v>
      </c>
      <c r="CW9" s="30">
        <v>1</v>
      </c>
      <c r="CX9" s="30">
        <v>1</v>
      </c>
      <c r="CY9" s="30">
        <v>1</v>
      </c>
      <c r="CZ9" s="30">
        <v>1</v>
      </c>
      <c r="DA9" s="30">
        <v>1</v>
      </c>
    </row>
    <row r="10" spans="1:105" x14ac:dyDescent="0.3">
      <c r="A10" s="34" t="str">
        <f t="shared" si="2"/>
        <v>Sricity - 11KCDM 10</v>
      </c>
      <c r="B10" s="20" t="s">
        <v>81</v>
      </c>
      <c r="C10" s="27" t="s">
        <v>15</v>
      </c>
      <c r="D10" s="19" t="s">
        <v>23</v>
      </c>
      <c r="E10" s="18" t="s">
        <v>6</v>
      </c>
      <c r="F10" s="31">
        <v>3</v>
      </c>
      <c r="G10" s="30">
        <v>1</v>
      </c>
      <c r="H10" s="30">
        <v>30</v>
      </c>
      <c r="I10" s="41"/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>
        <v>916.66666666666663</v>
      </c>
      <c r="AD10" s="21">
        <v>916.66666666666663</v>
      </c>
      <c r="AE10" s="21">
        <v>916.66666666666663</v>
      </c>
      <c r="AF10" s="21">
        <v>916.66666666666663</v>
      </c>
      <c r="AG10" s="21">
        <v>916.66666666666663</v>
      </c>
      <c r="AH10" s="21">
        <v>916.66666666666663</v>
      </c>
      <c r="AI10" s="21"/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30">
        <v>1</v>
      </c>
      <c r="BG10" s="30">
        <v>1</v>
      </c>
      <c r="BH10" s="30">
        <v>1</v>
      </c>
      <c r="BI10" s="30">
        <v>1</v>
      </c>
      <c r="BJ10" s="30">
        <v>1</v>
      </c>
      <c r="BK10" s="30">
        <v>1</v>
      </c>
      <c r="BL10" s="30">
        <v>1</v>
      </c>
      <c r="BM10" s="30">
        <v>1</v>
      </c>
      <c r="BN10" s="30">
        <v>1</v>
      </c>
      <c r="BO10" s="30">
        <v>1</v>
      </c>
      <c r="BP10" s="30">
        <v>1</v>
      </c>
      <c r="BQ10" s="30">
        <v>1</v>
      </c>
      <c r="BR10" s="30">
        <v>1</v>
      </c>
      <c r="BS10" s="30">
        <v>1</v>
      </c>
      <c r="BT10" s="30">
        <v>1</v>
      </c>
      <c r="BU10" s="30">
        <v>1</v>
      </c>
      <c r="BV10" s="30">
        <v>1</v>
      </c>
      <c r="BW10" s="30">
        <v>1</v>
      </c>
      <c r="BX10" s="30">
        <v>1</v>
      </c>
      <c r="BY10" s="30">
        <v>1</v>
      </c>
      <c r="BZ10" s="30">
        <v>1</v>
      </c>
      <c r="CA10" s="30">
        <v>1</v>
      </c>
      <c r="CB10" s="30">
        <v>1</v>
      </c>
      <c r="CC10" s="30">
        <v>1</v>
      </c>
      <c r="CD10" s="30">
        <v>1</v>
      </c>
      <c r="CE10" s="30">
        <v>1</v>
      </c>
      <c r="CF10" s="30">
        <v>1</v>
      </c>
      <c r="CG10" s="30">
        <v>1</v>
      </c>
      <c r="CH10" s="30">
        <v>1</v>
      </c>
      <c r="CI10" s="30">
        <v>1</v>
      </c>
      <c r="CJ10" s="30">
        <v>1</v>
      </c>
      <c r="CK10" s="30">
        <v>1</v>
      </c>
      <c r="CL10" s="30">
        <v>1</v>
      </c>
      <c r="CM10" s="30">
        <v>1</v>
      </c>
      <c r="CN10" s="30">
        <v>1</v>
      </c>
      <c r="CO10" s="30">
        <v>1</v>
      </c>
      <c r="CP10" s="30">
        <v>1</v>
      </c>
      <c r="CQ10" s="30">
        <v>1</v>
      </c>
      <c r="CR10" s="30">
        <v>1</v>
      </c>
      <c r="CS10" s="30">
        <v>1</v>
      </c>
      <c r="CT10" s="30">
        <v>1</v>
      </c>
      <c r="CU10" s="30">
        <v>1</v>
      </c>
      <c r="CV10" s="30">
        <v>1</v>
      </c>
      <c r="CW10" s="30">
        <v>1</v>
      </c>
      <c r="CX10" s="30">
        <v>1</v>
      </c>
      <c r="CY10" s="30">
        <v>1</v>
      </c>
      <c r="CZ10" s="30">
        <v>1</v>
      </c>
      <c r="DA10" s="30">
        <v>1</v>
      </c>
    </row>
    <row r="11" spans="1:105" x14ac:dyDescent="0.3">
      <c r="A11" s="34" t="str">
        <f t="shared" si="2"/>
        <v>Baddi - E2CDM 10</v>
      </c>
      <c r="B11" s="27" t="s">
        <v>83</v>
      </c>
      <c r="C11" s="27" t="s">
        <v>4</v>
      </c>
      <c r="D11" s="19" t="s">
        <v>23</v>
      </c>
      <c r="E11" s="18" t="s">
        <v>6</v>
      </c>
      <c r="F11" s="31">
        <v>1</v>
      </c>
      <c r="G11" s="30">
        <v>3</v>
      </c>
      <c r="H11" s="30">
        <v>30</v>
      </c>
      <c r="I11" s="41"/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>
        <v>1083.3333333333333</v>
      </c>
      <c r="AD11" s="21">
        <v>1083.3333333333333</v>
      </c>
      <c r="AE11" s="21">
        <v>1083.3333333333333</v>
      </c>
      <c r="AF11" s="21">
        <v>1083.3333333333333</v>
      </c>
      <c r="AG11" s="21">
        <v>1083.3333333333333</v>
      </c>
      <c r="AH11" s="21">
        <v>1083.3333333333333</v>
      </c>
      <c r="AI11" s="21"/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30">
        <v>1</v>
      </c>
      <c r="BG11" s="30">
        <v>1</v>
      </c>
      <c r="BH11" s="30">
        <v>1</v>
      </c>
      <c r="BI11" s="30">
        <v>1</v>
      </c>
      <c r="BJ11" s="30">
        <v>1</v>
      </c>
      <c r="BK11" s="30">
        <v>1</v>
      </c>
      <c r="BL11" s="30">
        <v>1</v>
      </c>
      <c r="BM11" s="30">
        <v>1</v>
      </c>
      <c r="BN11" s="30">
        <v>1</v>
      </c>
      <c r="BO11" s="30">
        <v>1</v>
      </c>
      <c r="BP11" s="30">
        <v>1</v>
      </c>
      <c r="BQ11" s="30">
        <v>1</v>
      </c>
      <c r="BR11" s="30">
        <v>1</v>
      </c>
      <c r="BS11" s="30">
        <v>1</v>
      </c>
      <c r="BT11" s="30">
        <v>1</v>
      </c>
      <c r="BU11" s="30">
        <v>1</v>
      </c>
      <c r="BV11" s="30">
        <v>1</v>
      </c>
      <c r="BW11" s="30">
        <v>1</v>
      </c>
      <c r="BX11" s="30">
        <v>1</v>
      </c>
      <c r="BY11" s="30">
        <v>1</v>
      </c>
      <c r="BZ11" s="30">
        <v>1</v>
      </c>
      <c r="CA11" s="30">
        <v>1</v>
      </c>
      <c r="CB11" s="30">
        <v>1</v>
      </c>
      <c r="CC11" s="30">
        <v>1</v>
      </c>
      <c r="CD11" s="30">
        <v>1</v>
      </c>
      <c r="CE11" s="30">
        <v>1</v>
      </c>
      <c r="CF11" s="30">
        <v>1</v>
      </c>
      <c r="CG11" s="30">
        <v>1</v>
      </c>
      <c r="CH11" s="30">
        <v>1</v>
      </c>
      <c r="CI11" s="30">
        <v>1</v>
      </c>
      <c r="CJ11" s="30">
        <v>1</v>
      </c>
      <c r="CK11" s="30">
        <v>1</v>
      </c>
      <c r="CL11" s="30">
        <v>1</v>
      </c>
      <c r="CM11" s="30">
        <v>1</v>
      </c>
      <c r="CN11" s="30">
        <v>1</v>
      </c>
      <c r="CO11" s="30">
        <v>1</v>
      </c>
      <c r="CP11" s="30">
        <v>1</v>
      </c>
      <c r="CQ11" s="30">
        <v>1</v>
      </c>
      <c r="CR11" s="30">
        <v>1</v>
      </c>
      <c r="CS11" s="30">
        <v>1</v>
      </c>
      <c r="CT11" s="30">
        <v>1</v>
      </c>
      <c r="CU11" s="30">
        <v>1</v>
      </c>
      <c r="CV11" s="30">
        <v>1</v>
      </c>
      <c r="CW11" s="30">
        <v>1</v>
      </c>
      <c r="CX11" s="30">
        <v>1</v>
      </c>
      <c r="CY11" s="30">
        <v>1</v>
      </c>
      <c r="CZ11" s="30">
        <v>1</v>
      </c>
      <c r="DA11" s="30">
        <v>1</v>
      </c>
    </row>
    <row r="12" spans="1:105" x14ac:dyDescent="0.3">
      <c r="A12" s="34" t="str">
        <f t="shared" si="2"/>
        <v>Sricity - 16KCDM 10 Bulk</v>
      </c>
      <c r="B12" s="20" t="s">
        <v>81</v>
      </c>
      <c r="C12" s="20" t="s">
        <v>16</v>
      </c>
      <c r="D12" s="19" t="s">
        <v>23</v>
      </c>
      <c r="E12" s="18" t="s">
        <v>25</v>
      </c>
      <c r="F12" s="30">
        <v>2</v>
      </c>
      <c r="G12" s="30">
        <v>3</v>
      </c>
      <c r="H12" s="30">
        <v>30</v>
      </c>
      <c r="I12" s="41"/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>
        <v>1739.6739130434783</v>
      </c>
      <c r="AD12" s="21">
        <v>1739.6739130434783</v>
      </c>
      <c r="AE12" s="21">
        <v>1581.521739130435</v>
      </c>
      <c r="AF12" s="21">
        <v>1581.521739130435</v>
      </c>
      <c r="AG12" s="21">
        <v>1581.521739130435</v>
      </c>
      <c r="AH12" s="21">
        <v>1581.521739130435</v>
      </c>
      <c r="AI12" s="21"/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30">
        <v>1</v>
      </c>
      <c r="BG12" s="30">
        <v>1</v>
      </c>
      <c r="BH12" s="30">
        <v>1</v>
      </c>
      <c r="BI12" s="30">
        <v>1</v>
      </c>
      <c r="BJ12" s="30">
        <v>1</v>
      </c>
      <c r="BK12" s="30">
        <v>1</v>
      </c>
      <c r="BL12" s="30">
        <v>1</v>
      </c>
      <c r="BM12" s="30">
        <v>1</v>
      </c>
      <c r="BN12" s="30">
        <v>1</v>
      </c>
      <c r="BO12" s="30">
        <v>1</v>
      </c>
      <c r="BP12" s="30">
        <v>1</v>
      </c>
      <c r="BQ12" s="30">
        <v>1</v>
      </c>
      <c r="BR12" s="30">
        <v>1</v>
      </c>
      <c r="BS12" s="30">
        <v>1</v>
      </c>
      <c r="BT12" s="30">
        <v>1</v>
      </c>
      <c r="BU12" s="30">
        <v>1</v>
      </c>
      <c r="BV12" s="30">
        <v>1</v>
      </c>
      <c r="BW12" s="30">
        <v>1</v>
      </c>
      <c r="BX12" s="30">
        <v>1</v>
      </c>
      <c r="BY12" s="30">
        <v>1</v>
      </c>
      <c r="BZ12" s="30">
        <v>1</v>
      </c>
      <c r="CA12" s="30">
        <v>1</v>
      </c>
      <c r="CB12" s="30">
        <v>1</v>
      </c>
      <c r="CC12" s="30">
        <v>1</v>
      </c>
      <c r="CD12" s="30">
        <v>1</v>
      </c>
      <c r="CE12" s="30">
        <v>1</v>
      </c>
      <c r="CF12" s="30">
        <v>1</v>
      </c>
      <c r="CG12" s="30">
        <v>1</v>
      </c>
      <c r="CH12" s="30">
        <v>1</v>
      </c>
      <c r="CI12" s="30">
        <v>1</v>
      </c>
      <c r="CJ12" s="30">
        <v>1</v>
      </c>
      <c r="CK12" s="30">
        <v>1</v>
      </c>
      <c r="CL12" s="30">
        <v>1</v>
      </c>
      <c r="CM12" s="30">
        <v>1</v>
      </c>
      <c r="CN12" s="30">
        <v>1</v>
      </c>
      <c r="CO12" s="30">
        <v>1</v>
      </c>
      <c r="CP12" s="30">
        <v>1</v>
      </c>
      <c r="CQ12" s="30">
        <v>1</v>
      </c>
      <c r="CR12" s="30">
        <v>1</v>
      </c>
      <c r="CS12" s="30">
        <v>1</v>
      </c>
      <c r="CT12" s="30">
        <v>1</v>
      </c>
      <c r="CU12" s="30">
        <v>1</v>
      </c>
      <c r="CV12" s="30">
        <v>1</v>
      </c>
      <c r="CW12" s="30">
        <v>1</v>
      </c>
      <c r="CX12" s="30">
        <v>1</v>
      </c>
      <c r="CY12" s="30">
        <v>1</v>
      </c>
      <c r="CZ12" s="30">
        <v>1</v>
      </c>
      <c r="DA12" s="30">
        <v>1</v>
      </c>
    </row>
    <row r="13" spans="1:105" x14ac:dyDescent="0.3">
      <c r="A13" s="34" t="str">
        <f t="shared" si="2"/>
        <v>Sricity - LOFCDM 10 Bulk</v>
      </c>
      <c r="B13" s="20" t="s">
        <v>81</v>
      </c>
      <c r="C13" s="27" t="s">
        <v>19</v>
      </c>
      <c r="D13" s="19" t="s">
        <v>23</v>
      </c>
      <c r="E13" s="18" t="s">
        <v>25</v>
      </c>
      <c r="F13" s="31">
        <v>6</v>
      </c>
      <c r="G13" s="30">
        <v>2</v>
      </c>
      <c r="H13" s="30">
        <v>30</v>
      </c>
      <c r="I13" s="41"/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>
        <v>1546.3768115942028</v>
      </c>
      <c r="AD13" s="21">
        <v>1546.3768115942028</v>
      </c>
      <c r="AE13" s="21">
        <v>1405.7971014492753</v>
      </c>
      <c r="AF13" s="21">
        <v>1405.7971014492753</v>
      </c>
      <c r="AG13" s="21">
        <v>1405.7971014492753</v>
      </c>
      <c r="AH13" s="21">
        <v>1405.7971014492753</v>
      </c>
      <c r="AI13" s="21"/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30">
        <v>1</v>
      </c>
      <c r="BG13" s="30">
        <v>1</v>
      </c>
      <c r="BH13" s="30">
        <v>1</v>
      </c>
      <c r="BI13" s="30">
        <v>1</v>
      </c>
      <c r="BJ13" s="30">
        <v>1</v>
      </c>
      <c r="BK13" s="30">
        <v>1</v>
      </c>
      <c r="BL13" s="30">
        <v>1</v>
      </c>
      <c r="BM13" s="30">
        <v>1</v>
      </c>
      <c r="BN13" s="30">
        <v>1</v>
      </c>
      <c r="BO13" s="30">
        <v>1</v>
      </c>
      <c r="BP13" s="30">
        <v>1</v>
      </c>
      <c r="BQ13" s="30">
        <v>1</v>
      </c>
      <c r="BR13" s="30">
        <v>1</v>
      </c>
      <c r="BS13" s="30">
        <v>1</v>
      </c>
      <c r="BT13" s="30">
        <v>1</v>
      </c>
      <c r="BU13" s="30">
        <v>1</v>
      </c>
      <c r="BV13" s="30">
        <v>1</v>
      </c>
      <c r="BW13" s="30">
        <v>1</v>
      </c>
      <c r="BX13" s="30">
        <v>1</v>
      </c>
      <c r="BY13" s="30">
        <v>1</v>
      </c>
      <c r="BZ13" s="30">
        <v>1</v>
      </c>
      <c r="CA13" s="30">
        <v>1</v>
      </c>
      <c r="CB13" s="30">
        <v>1</v>
      </c>
      <c r="CC13" s="30">
        <v>1</v>
      </c>
      <c r="CD13" s="30">
        <v>1</v>
      </c>
      <c r="CE13" s="30">
        <v>1</v>
      </c>
      <c r="CF13" s="30">
        <v>1</v>
      </c>
      <c r="CG13" s="30">
        <v>1</v>
      </c>
      <c r="CH13" s="30">
        <v>1</v>
      </c>
      <c r="CI13" s="30">
        <v>1</v>
      </c>
      <c r="CJ13" s="30">
        <v>1</v>
      </c>
      <c r="CK13" s="30">
        <v>1</v>
      </c>
      <c r="CL13" s="30">
        <v>1</v>
      </c>
      <c r="CM13" s="30">
        <v>1</v>
      </c>
      <c r="CN13" s="30">
        <v>1</v>
      </c>
      <c r="CO13" s="30">
        <v>1</v>
      </c>
      <c r="CP13" s="30">
        <v>1</v>
      </c>
      <c r="CQ13" s="30">
        <v>1</v>
      </c>
      <c r="CR13" s="30">
        <v>1</v>
      </c>
      <c r="CS13" s="30">
        <v>1</v>
      </c>
      <c r="CT13" s="30">
        <v>1</v>
      </c>
      <c r="CU13" s="30">
        <v>1</v>
      </c>
      <c r="CV13" s="30">
        <v>1</v>
      </c>
      <c r="CW13" s="30">
        <v>1</v>
      </c>
      <c r="CX13" s="30">
        <v>1</v>
      </c>
      <c r="CY13" s="30">
        <v>1</v>
      </c>
      <c r="CZ13" s="30">
        <v>1</v>
      </c>
      <c r="DA13" s="30">
        <v>1</v>
      </c>
    </row>
    <row r="14" spans="1:105" x14ac:dyDescent="0.3">
      <c r="A14" s="34" t="str">
        <f t="shared" si="2"/>
        <v>Baddi - DPCCDM 10 Bulk</v>
      </c>
      <c r="B14" s="27" t="s">
        <v>36</v>
      </c>
      <c r="C14" s="27" t="s">
        <v>1</v>
      </c>
      <c r="D14" s="19" t="s">
        <v>23</v>
      </c>
      <c r="E14" s="18" t="s">
        <v>25</v>
      </c>
      <c r="F14" s="31">
        <v>2</v>
      </c>
      <c r="G14" s="30">
        <v>2</v>
      </c>
      <c r="H14" s="30">
        <v>30</v>
      </c>
      <c r="I14" s="41"/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>
        <v>1369.3166666666666</v>
      </c>
      <c r="AD14" s="21">
        <v>1369.3166666666666</v>
      </c>
      <c r="AE14" s="21">
        <v>1369.3166666666666</v>
      </c>
      <c r="AF14" s="21">
        <v>1369.3166666666666</v>
      </c>
      <c r="AG14" s="21">
        <v>1369.3166666666666</v>
      </c>
      <c r="AH14" s="21">
        <v>1369.3166666666666</v>
      </c>
      <c r="AI14" s="21"/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30">
        <v>1</v>
      </c>
      <c r="BG14" s="30">
        <v>1</v>
      </c>
      <c r="BH14" s="30">
        <v>1</v>
      </c>
      <c r="BI14" s="30">
        <v>1</v>
      </c>
      <c r="BJ14" s="30">
        <v>1</v>
      </c>
      <c r="BK14" s="30">
        <v>1</v>
      </c>
      <c r="BL14" s="30">
        <v>1</v>
      </c>
      <c r="BM14" s="30">
        <v>1</v>
      </c>
      <c r="BN14" s="30">
        <v>1</v>
      </c>
      <c r="BO14" s="30">
        <v>1</v>
      </c>
      <c r="BP14" s="30">
        <v>1</v>
      </c>
      <c r="BQ14" s="30">
        <v>1</v>
      </c>
      <c r="BR14" s="30">
        <v>1</v>
      </c>
      <c r="BS14" s="30">
        <v>1</v>
      </c>
      <c r="BT14" s="30">
        <v>1</v>
      </c>
      <c r="BU14" s="30">
        <v>1</v>
      </c>
      <c r="BV14" s="30">
        <v>1</v>
      </c>
      <c r="BW14" s="30">
        <v>1</v>
      </c>
      <c r="BX14" s="30">
        <v>1</v>
      </c>
      <c r="BY14" s="30">
        <v>1</v>
      </c>
      <c r="BZ14" s="30">
        <v>1</v>
      </c>
      <c r="CA14" s="30">
        <v>1</v>
      </c>
      <c r="CB14" s="30">
        <v>1</v>
      </c>
      <c r="CC14" s="30">
        <v>1</v>
      </c>
      <c r="CD14" s="30">
        <v>1</v>
      </c>
      <c r="CE14" s="30">
        <v>1</v>
      </c>
      <c r="CF14" s="30">
        <v>1</v>
      </c>
      <c r="CG14" s="30">
        <v>1</v>
      </c>
      <c r="CH14" s="30">
        <v>1</v>
      </c>
      <c r="CI14" s="30">
        <v>1</v>
      </c>
      <c r="CJ14" s="30">
        <v>1</v>
      </c>
      <c r="CK14" s="30">
        <v>1</v>
      </c>
      <c r="CL14" s="30">
        <v>1</v>
      </c>
      <c r="CM14" s="30">
        <v>1</v>
      </c>
      <c r="CN14" s="30">
        <v>1</v>
      </c>
      <c r="CO14" s="30">
        <v>1</v>
      </c>
      <c r="CP14" s="30">
        <v>1</v>
      </c>
      <c r="CQ14" s="30">
        <v>1</v>
      </c>
      <c r="CR14" s="30">
        <v>1</v>
      </c>
      <c r="CS14" s="30">
        <v>1</v>
      </c>
      <c r="CT14" s="30">
        <v>1</v>
      </c>
      <c r="CU14" s="30">
        <v>1</v>
      </c>
      <c r="CV14" s="30">
        <v>1</v>
      </c>
      <c r="CW14" s="30">
        <v>1</v>
      </c>
      <c r="CX14" s="30">
        <v>1</v>
      </c>
      <c r="CY14" s="30">
        <v>1</v>
      </c>
      <c r="CZ14" s="30">
        <v>1</v>
      </c>
      <c r="DA14" s="30">
        <v>1</v>
      </c>
    </row>
    <row r="15" spans="1:105" x14ac:dyDescent="0.3">
      <c r="A15" s="34" t="str">
        <f t="shared" si="2"/>
        <v>Sricity - 11KCDM 10 Bulk</v>
      </c>
      <c r="B15" s="20" t="s">
        <v>81</v>
      </c>
      <c r="C15" s="27" t="s">
        <v>15</v>
      </c>
      <c r="D15" s="19" t="s">
        <v>23</v>
      </c>
      <c r="E15" s="18" t="s">
        <v>25</v>
      </c>
      <c r="F15" s="31">
        <v>3</v>
      </c>
      <c r="G15" s="30">
        <v>2</v>
      </c>
      <c r="H15" s="30">
        <v>30</v>
      </c>
      <c r="I15" s="41"/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>
        <v>916.66666666666652</v>
      </c>
      <c r="AD15" s="21">
        <v>916.66666666666652</v>
      </c>
      <c r="AE15" s="21">
        <v>833.33333333333337</v>
      </c>
      <c r="AF15" s="21">
        <v>833.33333333333337</v>
      </c>
      <c r="AG15" s="21">
        <v>833.33333333333337</v>
      </c>
      <c r="AH15" s="21">
        <v>833.33333333333337</v>
      </c>
      <c r="AI15" s="21"/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30">
        <v>1</v>
      </c>
      <c r="BG15" s="30">
        <v>1</v>
      </c>
      <c r="BH15" s="30">
        <v>1</v>
      </c>
      <c r="BI15" s="30">
        <v>1</v>
      </c>
      <c r="BJ15" s="30">
        <v>1</v>
      </c>
      <c r="BK15" s="30">
        <v>1</v>
      </c>
      <c r="BL15" s="30">
        <v>1</v>
      </c>
      <c r="BM15" s="30">
        <v>1</v>
      </c>
      <c r="BN15" s="30">
        <v>1</v>
      </c>
      <c r="BO15" s="30">
        <v>1</v>
      </c>
      <c r="BP15" s="30">
        <v>1</v>
      </c>
      <c r="BQ15" s="30">
        <v>1</v>
      </c>
      <c r="BR15" s="30">
        <v>1</v>
      </c>
      <c r="BS15" s="30">
        <v>1</v>
      </c>
      <c r="BT15" s="30">
        <v>1</v>
      </c>
      <c r="BU15" s="30">
        <v>1</v>
      </c>
      <c r="BV15" s="30">
        <v>1</v>
      </c>
      <c r="BW15" s="30">
        <v>1</v>
      </c>
      <c r="BX15" s="30">
        <v>1</v>
      </c>
      <c r="BY15" s="30">
        <v>1</v>
      </c>
      <c r="BZ15" s="30">
        <v>1</v>
      </c>
      <c r="CA15" s="30">
        <v>1</v>
      </c>
      <c r="CB15" s="30">
        <v>1</v>
      </c>
      <c r="CC15" s="30">
        <v>1</v>
      </c>
      <c r="CD15" s="30">
        <v>1</v>
      </c>
      <c r="CE15" s="30">
        <v>1</v>
      </c>
      <c r="CF15" s="30">
        <v>1</v>
      </c>
      <c r="CG15" s="30">
        <v>1</v>
      </c>
      <c r="CH15" s="30">
        <v>1</v>
      </c>
      <c r="CI15" s="30">
        <v>1</v>
      </c>
      <c r="CJ15" s="30">
        <v>1</v>
      </c>
      <c r="CK15" s="30">
        <v>1</v>
      </c>
      <c r="CL15" s="30">
        <v>1</v>
      </c>
      <c r="CM15" s="30">
        <v>1</v>
      </c>
      <c r="CN15" s="30">
        <v>1</v>
      </c>
      <c r="CO15" s="30">
        <v>1</v>
      </c>
      <c r="CP15" s="30">
        <v>1</v>
      </c>
      <c r="CQ15" s="30">
        <v>1</v>
      </c>
      <c r="CR15" s="30">
        <v>1</v>
      </c>
      <c r="CS15" s="30">
        <v>1</v>
      </c>
      <c r="CT15" s="30">
        <v>1</v>
      </c>
      <c r="CU15" s="30">
        <v>1</v>
      </c>
      <c r="CV15" s="30">
        <v>1</v>
      </c>
      <c r="CW15" s="30">
        <v>1</v>
      </c>
      <c r="CX15" s="30">
        <v>1</v>
      </c>
      <c r="CY15" s="30">
        <v>1</v>
      </c>
      <c r="CZ15" s="30">
        <v>1</v>
      </c>
      <c r="DA15" s="30">
        <v>1</v>
      </c>
    </row>
    <row r="16" spans="1:105" x14ac:dyDescent="0.3">
      <c r="A16" s="34" t="str">
        <f t="shared" si="2"/>
        <v>Baddi - E2CDM 10 Bulk</v>
      </c>
      <c r="B16" s="27" t="s">
        <v>83</v>
      </c>
      <c r="C16" s="27" t="s">
        <v>4</v>
      </c>
      <c r="D16" s="19" t="s">
        <v>23</v>
      </c>
      <c r="E16" s="18" t="s">
        <v>25</v>
      </c>
      <c r="F16" s="31">
        <v>2</v>
      </c>
      <c r="G16" s="30">
        <v>2</v>
      </c>
      <c r="H16" s="30">
        <v>30</v>
      </c>
      <c r="I16" s="41"/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>
        <v>1022.7272727272729</v>
      </c>
      <c r="AD16" s="21">
        <v>1022.7272727272729</v>
      </c>
      <c r="AE16" s="21">
        <v>1022.7272727272729</v>
      </c>
      <c r="AF16" s="21">
        <v>1022.7272727272729</v>
      </c>
      <c r="AG16" s="21">
        <v>1022.7272727272729</v>
      </c>
      <c r="AH16" s="21">
        <v>1022.7272727272729</v>
      </c>
      <c r="AI16" s="21"/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30">
        <v>1</v>
      </c>
      <c r="BG16" s="30">
        <v>1</v>
      </c>
      <c r="BH16" s="30">
        <v>1</v>
      </c>
      <c r="BI16" s="30">
        <v>1</v>
      </c>
      <c r="BJ16" s="30">
        <v>1</v>
      </c>
      <c r="BK16" s="30">
        <v>1</v>
      </c>
      <c r="BL16" s="30">
        <v>1</v>
      </c>
      <c r="BM16" s="30">
        <v>1</v>
      </c>
      <c r="BN16" s="30">
        <v>1</v>
      </c>
      <c r="BO16" s="30">
        <v>1</v>
      </c>
      <c r="BP16" s="30">
        <v>1</v>
      </c>
      <c r="BQ16" s="30">
        <v>1</v>
      </c>
      <c r="BR16" s="30">
        <v>1</v>
      </c>
      <c r="BS16" s="30">
        <v>1</v>
      </c>
      <c r="BT16" s="30">
        <v>1</v>
      </c>
      <c r="BU16" s="30">
        <v>1</v>
      </c>
      <c r="BV16" s="30">
        <v>1</v>
      </c>
      <c r="BW16" s="30">
        <v>1</v>
      </c>
      <c r="BX16" s="30">
        <v>1</v>
      </c>
      <c r="BY16" s="30">
        <v>1</v>
      </c>
      <c r="BZ16" s="30">
        <v>1</v>
      </c>
      <c r="CA16" s="30">
        <v>1</v>
      </c>
      <c r="CB16" s="30">
        <v>1</v>
      </c>
      <c r="CC16" s="30">
        <v>1</v>
      </c>
      <c r="CD16" s="30">
        <v>1</v>
      </c>
      <c r="CE16" s="30">
        <v>1</v>
      </c>
      <c r="CF16" s="30">
        <v>1</v>
      </c>
      <c r="CG16" s="30">
        <v>1</v>
      </c>
      <c r="CH16" s="30">
        <v>1</v>
      </c>
      <c r="CI16" s="30">
        <v>1</v>
      </c>
      <c r="CJ16" s="30">
        <v>1</v>
      </c>
      <c r="CK16" s="30">
        <v>1</v>
      </c>
      <c r="CL16" s="30">
        <v>1</v>
      </c>
      <c r="CM16" s="30">
        <v>1</v>
      </c>
      <c r="CN16" s="30">
        <v>1</v>
      </c>
      <c r="CO16" s="30">
        <v>1</v>
      </c>
      <c r="CP16" s="30">
        <v>1</v>
      </c>
      <c r="CQ16" s="30">
        <v>1</v>
      </c>
      <c r="CR16" s="30">
        <v>1</v>
      </c>
      <c r="CS16" s="30">
        <v>1</v>
      </c>
      <c r="CT16" s="30">
        <v>1</v>
      </c>
      <c r="CU16" s="30">
        <v>1</v>
      </c>
      <c r="CV16" s="30">
        <v>1</v>
      </c>
      <c r="CW16" s="30">
        <v>1</v>
      </c>
      <c r="CX16" s="30">
        <v>1</v>
      </c>
      <c r="CY16" s="30">
        <v>1</v>
      </c>
      <c r="CZ16" s="30">
        <v>1</v>
      </c>
      <c r="DA16" s="30">
        <v>1</v>
      </c>
    </row>
    <row r="17" spans="1:105" x14ac:dyDescent="0.3">
      <c r="A17" s="34" t="str">
        <f t="shared" si="2"/>
        <v>Sricity - 16KCDM 10 NEPAL</v>
      </c>
      <c r="B17" s="20" t="s">
        <v>81</v>
      </c>
      <c r="C17" s="20" t="s">
        <v>16</v>
      </c>
      <c r="D17" s="19" t="s">
        <v>23</v>
      </c>
      <c r="E17" s="18" t="s">
        <v>219</v>
      </c>
      <c r="F17" s="30">
        <v>2</v>
      </c>
      <c r="G17" s="30">
        <v>1</v>
      </c>
      <c r="H17" s="30">
        <v>30</v>
      </c>
      <c r="I17" s="41"/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>
        <v>1913.641304347826</v>
      </c>
      <c r="AD17" s="21">
        <v>1913.641304347826</v>
      </c>
      <c r="AE17" s="21">
        <v>1913.641304347826</v>
      </c>
      <c r="AF17" s="21">
        <v>1913.641304347826</v>
      </c>
      <c r="AG17" s="21">
        <v>1913.641304347826</v>
      </c>
      <c r="AH17" s="21">
        <v>1913.641304347826</v>
      </c>
      <c r="AI17" s="21"/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30">
        <v>1</v>
      </c>
      <c r="BG17" s="30">
        <v>1</v>
      </c>
      <c r="BH17" s="30">
        <v>1</v>
      </c>
      <c r="BI17" s="30">
        <v>1</v>
      </c>
      <c r="BJ17" s="30">
        <v>1</v>
      </c>
      <c r="BK17" s="30">
        <v>1</v>
      </c>
      <c r="BL17" s="30">
        <v>1</v>
      </c>
      <c r="BM17" s="30">
        <v>1</v>
      </c>
      <c r="BN17" s="30">
        <v>1</v>
      </c>
      <c r="BO17" s="30">
        <v>1</v>
      </c>
      <c r="BP17" s="30">
        <v>1</v>
      </c>
      <c r="BQ17" s="30">
        <v>1</v>
      </c>
      <c r="BR17" s="30">
        <v>1</v>
      </c>
      <c r="BS17" s="30">
        <v>1</v>
      </c>
      <c r="BT17" s="30">
        <v>1</v>
      </c>
      <c r="BU17" s="30">
        <v>1</v>
      </c>
      <c r="BV17" s="30">
        <v>1</v>
      </c>
      <c r="BW17" s="30">
        <v>1</v>
      </c>
      <c r="BX17" s="30">
        <v>1</v>
      </c>
      <c r="BY17" s="30">
        <v>1</v>
      </c>
      <c r="BZ17" s="30">
        <v>1</v>
      </c>
      <c r="CA17" s="30">
        <v>1</v>
      </c>
      <c r="CB17" s="30">
        <v>1</v>
      </c>
      <c r="CC17" s="30">
        <v>1</v>
      </c>
      <c r="CD17" s="30">
        <v>1</v>
      </c>
      <c r="CE17" s="30">
        <v>1</v>
      </c>
      <c r="CF17" s="30">
        <v>1</v>
      </c>
      <c r="CG17" s="30">
        <v>1</v>
      </c>
      <c r="CH17" s="30">
        <v>1</v>
      </c>
      <c r="CI17" s="30">
        <v>1</v>
      </c>
      <c r="CJ17" s="30">
        <v>1</v>
      </c>
      <c r="CK17" s="30">
        <v>1</v>
      </c>
      <c r="CL17" s="30">
        <v>1</v>
      </c>
      <c r="CM17" s="30">
        <v>1</v>
      </c>
      <c r="CN17" s="30">
        <v>1</v>
      </c>
      <c r="CO17" s="30">
        <v>1</v>
      </c>
      <c r="CP17" s="30">
        <v>1</v>
      </c>
      <c r="CQ17" s="30">
        <v>1</v>
      </c>
      <c r="CR17" s="30">
        <v>1</v>
      </c>
      <c r="CS17" s="30">
        <v>1</v>
      </c>
      <c r="CT17" s="30">
        <v>1</v>
      </c>
      <c r="CU17" s="30">
        <v>1</v>
      </c>
      <c r="CV17" s="30">
        <v>1</v>
      </c>
      <c r="CW17" s="30">
        <v>1</v>
      </c>
      <c r="CX17" s="30">
        <v>1</v>
      </c>
      <c r="CY17" s="30">
        <v>1</v>
      </c>
      <c r="CZ17" s="30">
        <v>1</v>
      </c>
      <c r="DA17" s="30">
        <v>1</v>
      </c>
    </row>
    <row r="18" spans="1:105" x14ac:dyDescent="0.3">
      <c r="A18" s="34" t="str">
        <f t="shared" si="2"/>
        <v>Sricity - LOFCDM 10 NEPAL</v>
      </c>
      <c r="B18" s="20" t="s">
        <v>81</v>
      </c>
      <c r="C18" s="27" t="s">
        <v>19</v>
      </c>
      <c r="D18" s="19" t="s">
        <v>23</v>
      </c>
      <c r="E18" s="18" t="s">
        <v>219</v>
      </c>
      <c r="F18" s="31">
        <v>6</v>
      </c>
      <c r="G18" s="30">
        <v>1</v>
      </c>
      <c r="H18" s="30">
        <v>30</v>
      </c>
      <c r="I18" s="41"/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>
        <v>1701.014492753623</v>
      </c>
      <c r="AD18" s="21">
        <v>1701.014492753623</v>
      </c>
      <c r="AE18" s="21">
        <v>1701.014492753623</v>
      </c>
      <c r="AF18" s="21">
        <v>1701.014492753623</v>
      </c>
      <c r="AG18" s="21">
        <v>1701.014492753623</v>
      </c>
      <c r="AH18" s="21">
        <v>1701.014492753623</v>
      </c>
      <c r="AI18" s="21"/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30">
        <v>1</v>
      </c>
      <c r="BG18" s="30">
        <v>1</v>
      </c>
      <c r="BH18" s="30">
        <v>1</v>
      </c>
      <c r="BI18" s="30">
        <v>1</v>
      </c>
      <c r="BJ18" s="30">
        <v>1</v>
      </c>
      <c r="BK18" s="30">
        <v>1</v>
      </c>
      <c r="BL18" s="30">
        <v>1</v>
      </c>
      <c r="BM18" s="30">
        <v>1</v>
      </c>
      <c r="BN18" s="30">
        <v>1</v>
      </c>
      <c r="BO18" s="30">
        <v>1</v>
      </c>
      <c r="BP18" s="30">
        <v>1</v>
      </c>
      <c r="BQ18" s="30">
        <v>1</v>
      </c>
      <c r="BR18" s="30">
        <v>1</v>
      </c>
      <c r="BS18" s="30">
        <v>1</v>
      </c>
      <c r="BT18" s="30">
        <v>1</v>
      </c>
      <c r="BU18" s="30">
        <v>1</v>
      </c>
      <c r="BV18" s="30">
        <v>1</v>
      </c>
      <c r="BW18" s="30">
        <v>1</v>
      </c>
      <c r="BX18" s="30">
        <v>1</v>
      </c>
      <c r="BY18" s="30">
        <v>1</v>
      </c>
      <c r="BZ18" s="30">
        <v>1</v>
      </c>
      <c r="CA18" s="30">
        <v>1</v>
      </c>
      <c r="CB18" s="30">
        <v>1</v>
      </c>
      <c r="CC18" s="30">
        <v>1</v>
      </c>
      <c r="CD18" s="30">
        <v>1</v>
      </c>
      <c r="CE18" s="30">
        <v>1</v>
      </c>
      <c r="CF18" s="30">
        <v>1</v>
      </c>
      <c r="CG18" s="30">
        <v>1</v>
      </c>
      <c r="CH18" s="30">
        <v>1</v>
      </c>
      <c r="CI18" s="30">
        <v>1</v>
      </c>
      <c r="CJ18" s="30">
        <v>1</v>
      </c>
      <c r="CK18" s="30">
        <v>1</v>
      </c>
      <c r="CL18" s="30">
        <v>1</v>
      </c>
      <c r="CM18" s="30">
        <v>1</v>
      </c>
      <c r="CN18" s="30">
        <v>1</v>
      </c>
      <c r="CO18" s="30">
        <v>1</v>
      </c>
      <c r="CP18" s="30">
        <v>1</v>
      </c>
      <c r="CQ18" s="30">
        <v>1</v>
      </c>
      <c r="CR18" s="30">
        <v>1</v>
      </c>
      <c r="CS18" s="30">
        <v>1</v>
      </c>
      <c r="CT18" s="30">
        <v>1</v>
      </c>
      <c r="CU18" s="30">
        <v>1</v>
      </c>
      <c r="CV18" s="30">
        <v>1</v>
      </c>
      <c r="CW18" s="30">
        <v>1</v>
      </c>
      <c r="CX18" s="30">
        <v>1</v>
      </c>
      <c r="CY18" s="30">
        <v>1</v>
      </c>
      <c r="CZ18" s="30">
        <v>1</v>
      </c>
      <c r="DA18" s="30">
        <v>1</v>
      </c>
    </row>
    <row r="19" spans="1:105" x14ac:dyDescent="0.3">
      <c r="A19" s="34" t="str">
        <f t="shared" si="2"/>
        <v>Baddi - DPCCDM 10 NEPAL</v>
      </c>
      <c r="B19" s="27" t="s">
        <v>36</v>
      </c>
      <c r="C19" s="27" t="s">
        <v>1</v>
      </c>
      <c r="D19" s="19" t="s">
        <v>23</v>
      </c>
      <c r="E19" s="18" t="s">
        <v>219</v>
      </c>
      <c r="F19" s="31">
        <v>3</v>
      </c>
      <c r="G19" s="30">
        <v>1</v>
      </c>
      <c r="H19" s="30">
        <v>30</v>
      </c>
      <c r="I19" s="41"/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>
        <v>1370.7986111111106</v>
      </c>
      <c r="AD19" s="21">
        <v>1370.7986111111106</v>
      </c>
      <c r="AE19" s="21">
        <v>1370.7986111111106</v>
      </c>
      <c r="AF19" s="21">
        <v>1370.7986111111106</v>
      </c>
      <c r="AG19" s="21">
        <v>1370.7986111111106</v>
      </c>
      <c r="AH19" s="21">
        <v>1370.7986111111106</v>
      </c>
      <c r="AI19" s="21"/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30">
        <v>1</v>
      </c>
      <c r="BG19" s="30">
        <v>1</v>
      </c>
      <c r="BH19" s="30">
        <v>1</v>
      </c>
      <c r="BI19" s="30">
        <v>1</v>
      </c>
      <c r="BJ19" s="30">
        <v>1</v>
      </c>
      <c r="BK19" s="30">
        <v>1</v>
      </c>
      <c r="BL19" s="30">
        <v>1</v>
      </c>
      <c r="BM19" s="30">
        <v>1</v>
      </c>
      <c r="BN19" s="30">
        <v>1</v>
      </c>
      <c r="BO19" s="30">
        <v>1</v>
      </c>
      <c r="BP19" s="30">
        <v>1</v>
      </c>
      <c r="BQ19" s="30">
        <v>1</v>
      </c>
      <c r="BR19" s="30">
        <v>1</v>
      </c>
      <c r="BS19" s="30">
        <v>1</v>
      </c>
      <c r="BT19" s="30">
        <v>1</v>
      </c>
      <c r="BU19" s="30">
        <v>1</v>
      </c>
      <c r="BV19" s="30">
        <v>1</v>
      </c>
      <c r="BW19" s="30">
        <v>1</v>
      </c>
      <c r="BX19" s="30">
        <v>1</v>
      </c>
      <c r="BY19" s="30">
        <v>1</v>
      </c>
      <c r="BZ19" s="30">
        <v>1</v>
      </c>
      <c r="CA19" s="30">
        <v>1</v>
      </c>
      <c r="CB19" s="30">
        <v>1</v>
      </c>
      <c r="CC19" s="30">
        <v>1</v>
      </c>
      <c r="CD19" s="30">
        <v>1</v>
      </c>
      <c r="CE19" s="30">
        <v>1</v>
      </c>
      <c r="CF19" s="30">
        <v>1</v>
      </c>
      <c r="CG19" s="30">
        <v>1</v>
      </c>
      <c r="CH19" s="30">
        <v>1</v>
      </c>
      <c r="CI19" s="30">
        <v>1</v>
      </c>
      <c r="CJ19" s="30">
        <v>1</v>
      </c>
      <c r="CK19" s="30">
        <v>1</v>
      </c>
      <c r="CL19" s="30">
        <v>1</v>
      </c>
      <c r="CM19" s="30">
        <v>1</v>
      </c>
      <c r="CN19" s="30">
        <v>1</v>
      </c>
      <c r="CO19" s="30">
        <v>1</v>
      </c>
      <c r="CP19" s="30">
        <v>1</v>
      </c>
      <c r="CQ19" s="30">
        <v>1</v>
      </c>
      <c r="CR19" s="30">
        <v>1</v>
      </c>
      <c r="CS19" s="30">
        <v>1</v>
      </c>
      <c r="CT19" s="30">
        <v>1</v>
      </c>
      <c r="CU19" s="30">
        <v>1</v>
      </c>
      <c r="CV19" s="30">
        <v>1</v>
      </c>
      <c r="CW19" s="30">
        <v>1</v>
      </c>
      <c r="CX19" s="30">
        <v>1</v>
      </c>
      <c r="CY19" s="30">
        <v>1</v>
      </c>
      <c r="CZ19" s="30">
        <v>1</v>
      </c>
      <c r="DA19" s="30">
        <v>1</v>
      </c>
    </row>
    <row r="20" spans="1:105" x14ac:dyDescent="0.3">
      <c r="A20" s="34" t="str">
        <f t="shared" si="2"/>
        <v>Sricity - 11KCDM 10 NEPAL</v>
      </c>
      <c r="B20" s="20" t="s">
        <v>81</v>
      </c>
      <c r="C20" s="27" t="s">
        <v>15</v>
      </c>
      <c r="D20" s="19" t="s">
        <v>23</v>
      </c>
      <c r="E20" s="18" t="s">
        <v>219</v>
      </c>
      <c r="F20" s="31">
        <v>3</v>
      </c>
      <c r="G20" s="30">
        <v>1</v>
      </c>
      <c r="H20" s="30">
        <v>30</v>
      </c>
      <c r="I20" s="41"/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>
        <v>1008.3333333333331</v>
      </c>
      <c r="AD20" s="21">
        <v>1008.3333333333331</v>
      </c>
      <c r="AE20" s="21">
        <v>1008.3333333333331</v>
      </c>
      <c r="AF20" s="21">
        <v>1008.3333333333331</v>
      </c>
      <c r="AG20" s="21">
        <v>1008.3333333333331</v>
      </c>
      <c r="AH20" s="21">
        <v>1008.3333333333331</v>
      </c>
      <c r="AI20" s="21"/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30">
        <v>1</v>
      </c>
      <c r="BG20" s="30">
        <v>1</v>
      </c>
      <c r="BH20" s="30">
        <v>1</v>
      </c>
      <c r="BI20" s="30">
        <v>1</v>
      </c>
      <c r="BJ20" s="30">
        <v>1</v>
      </c>
      <c r="BK20" s="30">
        <v>1</v>
      </c>
      <c r="BL20" s="30">
        <v>1</v>
      </c>
      <c r="BM20" s="30">
        <v>1</v>
      </c>
      <c r="BN20" s="30">
        <v>1</v>
      </c>
      <c r="BO20" s="30">
        <v>1</v>
      </c>
      <c r="BP20" s="30">
        <v>1</v>
      </c>
      <c r="BQ20" s="30">
        <v>1</v>
      </c>
      <c r="BR20" s="30">
        <v>1</v>
      </c>
      <c r="BS20" s="30">
        <v>1</v>
      </c>
      <c r="BT20" s="30">
        <v>1</v>
      </c>
      <c r="BU20" s="30">
        <v>1</v>
      </c>
      <c r="BV20" s="30">
        <v>1</v>
      </c>
      <c r="BW20" s="30">
        <v>1</v>
      </c>
      <c r="BX20" s="30">
        <v>1</v>
      </c>
      <c r="BY20" s="30">
        <v>1</v>
      </c>
      <c r="BZ20" s="30">
        <v>1</v>
      </c>
      <c r="CA20" s="30">
        <v>1</v>
      </c>
      <c r="CB20" s="30">
        <v>1</v>
      </c>
      <c r="CC20" s="30">
        <v>1</v>
      </c>
      <c r="CD20" s="30">
        <v>1</v>
      </c>
      <c r="CE20" s="30">
        <v>1</v>
      </c>
      <c r="CF20" s="30">
        <v>1</v>
      </c>
      <c r="CG20" s="30">
        <v>1</v>
      </c>
      <c r="CH20" s="30">
        <v>1</v>
      </c>
      <c r="CI20" s="30">
        <v>1</v>
      </c>
      <c r="CJ20" s="30">
        <v>1</v>
      </c>
      <c r="CK20" s="30">
        <v>1</v>
      </c>
      <c r="CL20" s="30">
        <v>1</v>
      </c>
      <c r="CM20" s="30">
        <v>1</v>
      </c>
      <c r="CN20" s="30">
        <v>1</v>
      </c>
      <c r="CO20" s="30">
        <v>1</v>
      </c>
      <c r="CP20" s="30">
        <v>1</v>
      </c>
      <c r="CQ20" s="30">
        <v>1</v>
      </c>
      <c r="CR20" s="30">
        <v>1</v>
      </c>
      <c r="CS20" s="30">
        <v>1</v>
      </c>
      <c r="CT20" s="30">
        <v>1</v>
      </c>
      <c r="CU20" s="30">
        <v>1</v>
      </c>
      <c r="CV20" s="30">
        <v>1</v>
      </c>
      <c r="CW20" s="30">
        <v>1</v>
      </c>
      <c r="CX20" s="30">
        <v>1</v>
      </c>
      <c r="CY20" s="30">
        <v>1</v>
      </c>
      <c r="CZ20" s="30">
        <v>1</v>
      </c>
      <c r="DA20" s="30">
        <v>1</v>
      </c>
    </row>
    <row r="21" spans="1:105" x14ac:dyDescent="0.3">
      <c r="A21" s="34" t="str">
        <f t="shared" si="2"/>
        <v>Baddi - E2CDM 10 NEPAL</v>
      </c>
      <c r="B21" s="27" t="s">
        <v>83</v>
      </c>
      <c r="C21" s="27" t="s">
        <v>4</v>
      </c>
      <c r="D21" s="19" t="s">
        <v>23</v>
      </c>
      <c r="E21" s="18" t="s">
        <v>219</v>
      </c>
      <c r="F21" s="31">
        <v>3</v>
      </c>
      <c r="G21" s="30">
        <v>1</v>
      </c>
      <c r="H21" s="30">
        <v>30</v>
      </c>
      <c r="I21" s="41"/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>
        <v>1063.1340579710143</v>
      </c>
      <c r="AD21" s="21">
        <v>1063.1340579710143</v>
      </c>
      <c r="AE21" s="21">
        <v>1063.1340579710143</v>
      </c>
      <c r="AF21" s="21">
        <v>1063.1340579710143</v>
      </c>
      <c r="AG21" s="21">
        <v>1063.1340579710143</v>
      </c>
      <c r="AH21" s="21">
        <v>1063.1340579710143</v>
      </c>
      <c r="AI21" s="21"/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30">
        <v>1</v>
      </c>
      <c r="BG21" s="30">
        <v>1</v>
      </c>
      <c r="BH21" s="30">
        <v>1</v>
      </c>
      <c r="BI21" s="30">
        <v>1</v>
      </c>
      <c r="BJ21" s="30">
        <v>1</v>
      </c>
      <c r="BK21" s="30">
        <v>1</v>
      </c>
      <c r="BL21" s="30">
        <v>1</v>
      </c>
      <c r="BM21" s="30">
        <v>1</v>
      </c>
      <c r="BN21" s="30">
        <v>1</v>
      </c>
      <c r="BO21" s="30">
        <v>1</v>
      </c>
      <c r="BP21" s="30">
        <v>1</v>
      </c>
      <c r="BQ21" s="30">
        <v>1</v>
      </c>
      <c r="BR21" s="30">
        <v>1</v>
      </c>
      <c r="BS21" s="30">
        <v>1</v>
      </c>
      <c r="BT21" s="30">
        <v>1</v>
      </c>
      <c r="BU21" s="30">
        <v>1</v>
      </c>
      <c r="BV21" s="30">
        <v>1</v>
      </c>
      <c r="BW21" s="30">
        <v>1</v>
      </c>
      <c r="BX21" s="30">
        <v>1</v>
      </c>
      <c r="BY21" s="30">
        <v>1</v>
      </c>
      <c r="BZ21" s="30">
        <v>1</v>
      </c>
      <c r="CA21" s="30">
        <v>1</v>
      </c>
      <c r="CB21" s="30">
        <v>1</v>
      </c>
      <c r="CC21" s="30">
        <v>1</v>
      </c>
      <c r="CD21" s="30">
        <v>1</v>
      </c>
      <c r="CE21" s="30">
        <v>1</v>
      </c>
      <c r="CF21" s="30">
        <v>1</v>
      </c>
      <c r="CG21" s="30">
        <v>1</v>
      </c>
      <c r="CH21" s="30">
        <v>1</v>
      </c>
      <c r="CI21" s="30">
        <v>1</v>
      </c>
      <c r="CJ21" s="30">
        <v>1</v>
      </c>
      <c r="CK21" s="30">
        <v>1</v>
      </c>
      <c r="CL21" s="30">
        <v>1</v>
      </c>
      <c r="CM21" s="30">
        <v>1</v>
      </c>
      <c r="CN21" s="30">
        <v>1</v>
      </c>
      <c r="CO21" s="30">
        <v>1</v>
      </c>
      <c r="CP21" s="30">
        <v>1</v>
      </c>
      <c r="CQ21" s="30">
        <v>1</v>
      </c>
      <c r="CR21" s="30">
        <v>1</v>
      </c>
      <c r="CS21" s="30">
        <v>1</v>
      </c>
      <c r="CT21" s="30">
        <v>1</v>
      </c>
      <c r="CU21" s="30">
        <v>1</v>
      </c>
      <c r="CV21" s="30">
        <v>1</v>
      </c>
      <c r="CW21" s="30">
        <v>1</v>
      </c>
      <c r="CX21" s="30">
        <v>1</v>
      </c>
      <c r="CY21" s="30">
        <v>1</v>
      </c>
      <c r="CZ21" s="30">
        <v>1</v>
      </c>
      <c r="DA21" s="30">
        <v>1</v>
      </c>
    </row>
    <row r="22" spans="1:105" x14ac:dyDescent="0.3">
      <c r="A22" s="34" t="str">
        <f t="shared" si="2"/>
        <v>Sricity - 11KCDM 100</v>
      </c>
      <c r="B22" s="20" t="s">
        <v>81</v>
      </c>
      <c r="C22" s="20" t="s">
        <v>15</v>
      </c>
      <c r="D22" s="19" t="s">
        <v>23</v>
      </c>
      <c r="E22" s="18" t="s">
        <v>27</v>
      </c>
      <c r="F22" s="30">
        <v>2</v>
      </c>
      <c r="G22" s="30">
        <v>1</v>
      </c>
      <c r="H22" s="30">
        <v>30</v>
      </c>
      <c r="I22" s="41"/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>
        <v>1958.3333333333333</v>
      </c>
      <c r="AD22" s="21">
        <v>1958.3333333333333</v>
      </c>
      <c r="AE22" s="21">
        <v>1958.3333333333333</v>
      </c>
      <c r="AF22" s="21">
        <v>1958.3333333333333</v>
      </c>
      <c r="AG22" s="21">
        <v>1958.3333333333333</v>
      </c>
      <c r="AH22" s="21">
        <v>1958.3333333333333</v>
      </c>
      <c r="AI22" s="21"/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30">
        <v>1</v>
      </c>
      <c r="BG22" s="30">
        <v>1</v>
      </c>
      <c r="BH22" s="30">
        <v>1</v>
      </c>
      <c r="BI22" s="30">
        <v>1</v>
      </c>
      <c r="BJ22" s="30">
        <v>1</v>
      </c>
      <c r="BK22" s="30">
        <v>1</v>
      </c>
      <c r="BL22" s="30">
        <v>1</v>
      </c>
      <c r="BM22" s="30">
        <v>1</v>
      </c>
      <c r="BN22" s="30">
        <v>1</v>
      </c>
      <c r="BO22" s="30">
        <v>1</v>
      </c>
      <c r="BP22" s="30">
        <v>1</v>
      </c>
      <c r="BQ22" s="30">
        <v>1</v>
      </c>
      <c r="BR22" s="30">
        <v>1</v>
      </c>
      <c r="BS22" s="30">
        <v>1</v>
      </c>
      <c r="BT22" s="30">
        <v>1</v>
      </c>
      <c r="BU22" s="30">
        <v>1</v>
      </c>
      <c r="BV22" s="30">
        <v>1</v>
      </c>
      <c r="BW22" s="30">
        <v>1</v>
      </c>
      <c r="BX22" s="30">
        <v>1</v>
      </c>
      <c r="BY22" s="30">
        <v>1</v>
      </c>
      <c r="BZ22" s="30">
        <v>1</v>
      </c>
      <c r="CA22" s="30">
        <v>1</v>
      </c>
      <c r="CB22" s="30">
        <v>1</v>
      </c>
      <c r="CC22" s="30">
        <v>1</v>
      </c>
      <c r="CD22" s="30">
        <v>1</v>
      </c>
      <c r="CE22" s="30">
        <v>1</v>
      </c>
      <c r="CF22" s="30">
        <v>1</v>
      </c>
      <c r="CG22" s="30">
        <v>1</v>
      </c>
      <c r="CH22" s="30">
        <v>1</v>
      </c>
      <c r="CI22" s="30">
        <v>1</v>
      </c>
      <c r="CJ22" s="30">
        <v>1</v>
      </c>
      <c r="CK22" s="30">
        <v>1</v>
      </c>
      <c r="CL22" s="30">
        <v>1</v>
      </c>
      <c r="CM22" s="30">
        <v>1</v>
      </c>
      <c r="CN22" s="30">
        <v>1</v>
      </c>
      <c r="CO22" s="30">
        <v>1</v>
      </c>
      <c r="CP22" s="30">
        <v>1</v>
      </c>
      <c r="CQ22" s="30">
        <v>1</v>
      </c>
      <c r="CR22" s="30">
        <v>1</v>
      </c>
      <c r="CS22" s="30">
        <v>1</v>
      </c>
      <c r="CT22" s="30">
        <v>1</v>
      </c>
      <c r="CU22" s="30">
        <v>1</v>
      </c>
      <c r="CV22" s="30">
        <v>1</v>
      </c>
      <c r="CW22" s="30">
        <v>1</v>
      </c>
      <c r="CX22" s="30">
        <v>1</v>
      </c>
      <c r="CY22" s="30">
        <v>1</v>
      </c>
      <c r="CZ22" s="30">
        <v>1</v>
      </c>
      <c r="DA22" s="30">
        <v>1</v>
      </c>
    </row>
    <row r="23" spans="1:105" x14ac:dyDescent="0.3">
      <c r="A23" s="34" t="str">
        <f t="shared" si="2"/>
        <v>Sricity - 11KCDM 100 NEPAL</v>
      </c>
      <c r="B23" s="20" t="s">
        <v>81</v>
      </c>
      <c r="C23" s="20" t="s">
        <v>15</v>
      </c>
      <c r="D23" s="19" t="s">
        <v>23</v>
      </c>
      <c r="E23" s="18" t="s">
        <v>220</v>
      </c>
      <c r="F23" s="30">
        <v>2</v>
      </c>
      <c r="G23" s="30">
        <v>1</v>
      </c>
      <c r="H23" s="30">
        <v>30</v>
      </c>
      <c r="I23" s="41"/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>
        <v>1875</v>
      </c>
      <c r="AD23" s="21">
        <v>1875</v>
      </c>
      <c r="AE23" s="21">
        <v>1875</v>
      </c>
      <c r="AF23" s="21">
        <v>1875</v>
      </c>
      <c r="AG23" s="21">
        <v>1875</v>
      </c>
      <c r="AH23" s="21">
        <v>1875</v>
      </c>
      <c r="AI23" s="21"/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30">
        <v>1</v>
      </c>
      <c r="BG23" s="30">
        <v>1</v>
      </c>
      <c r="BH23" s="30">
        <v>1</v>
      </c>
      <c r="BI23" s="30">
        <v>1</v>
      </c>
      <c r="BJ23" s="30">
        <v>1</v>
      </c>
      <c r="BK23" s="30">
        <v>1</v>
      </c>
      <c r="BL23" s="30">
        <v>1</v>
      </c>
      <c r="BM23" s="30">
        <v>1</v>
      </c>
      <c r="BN23" s="30">
        <v>1</v>
      </c>
      <c r="BO23" s="30">
        <v>1</v>
      </c>
      <c r="BP23" s="30">
        <v>1</v>
      </c>
      <c r="BQ23" s="30">
        <v>1</v>
      </c>
      <c r="BR23" s="30">
        <v>1</v>
      </c>
      <c r="BS23" s="30">
        <v>1</v>
      </c>
      <c r="BT23" s="30">
        <v>1</v>
      </c>
      <c r="BU23" s="30">
        <v>1</v>
      </c>
      <c r="BV23" s="30">
        <v>1</v>
      </c>
      <c r="BW23" s="30">
        <v>1</v>
      </c>
      <c r="BX23" s="30">
        <v>1</v>
      </c>
      <c r="BY23" s="30">
        <v>1</v>
      </c>
      <c r="BZ23" s="30">
        <v>1</v>
      </c>
      <c r="CA23" s="30">
        <v>1</v>
      </c>
      <c r="CB23" s="30">
        <v>1</v>
      </c>
      <c r="CC23" s="30">
        <v>1</v>
      </c>
      <c r="CD23" s="30">
        <v>1</v>
      </c>
      <c r="CE23" s="30">
        <v>1</v>
      </c>
      <c r="CF23" s="30">
        <v>1</v>
      </c>
      <c r="CG23" s="30">
        <v>1</v>
      </c>
      <c r="CH23" s="30">
        <v>1</v>
      </c>
      <c r="CI23" s="30">
        <v>1</v>
      </c>
      <c r="CJ23" s="30">
        <v>1</v>
      </c>
      <c r="CK23" s="30">
        <v>1</v>
      </c>
      <c r="CL23" s="30">
        <v>1</v>
      </c>
      <c r="CM23" s="30">
        <v>1</v>
      </c>
      <c r="CN23" s="30">
        <v>1</v>
      </c>
      <c r="CO23" s="30">
        <v>1</v>
      </c>
      <c r="CP23" s="30">
        <v>1</v>
      </c>
      <c r="CQ23" s="30">
        <v>1</v>
      </c>
      <c r="CR23" s="30">
        <v>1</v>
      </c>
      <c r="CS23" s="30">
        <v>1</v>
      </c>
      <c r="CT23" s="30">
        <v>1</v>
      </c>
      <c r="CU23" s="30">
        <v>1</v>
      </c>
      <c r="CV23" s="30">
        <v>1</v>
      </c>
      <c r="CW23" s="30">
        <v>1</v>
      </c>
      <c r="CX23" s="30">
        <v>1</v>
      </c>
      <c r="CY23" s="30">
        <v>1</v>
      </c>
      <c r="CZ23" s="30">
        <v>1</v>
      </c>
      <c r="DA23" s="30">
        <v>1</v>
      </c>
    </row>
    <row r="24" spans="1:105" x14ac:dyDescent="0.3">
      <c r="A24" s="34" t="str">
        <f t="shared" si="2"/>
        <v>Sricity - 11KCDM 130</v>
      </c>
      <c r="B24" s="20" t="s">
        <v>81</v>
      </c>
      <c r="C24" s="20" t="s">
        <v>15</v>
      </c>
      <c r="D24" s="19" t="s">
        <v>23</v>
      </c>
      <c r="E24" s="18" t="s">
        <v>26</v>
      </c>
      <c r="F24" s="30">
        <v>1</v>
      </c>
      <c r="G24" s="30">
        <v>3</v>
      </c>
      <c r="H24" s="30">
        <v>30</v>
      </c>
      <c r="I24" s="41"/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>
        <v>1916.6666666666667</v>
      </c>
      <c r="AD24" s="21">
        <v>1916.6666666666667</v>
      </c>
      <c r="AE24" s="21">
        <v>1916.6666666666667</v>
      </c>
      <c r="AF24" s="21">
        <v>1916.6666666666667</v>
      </c>
      <c r="AG24" s="21">
        <v>1916.6666666666667</v>
      </c>
      <c r="AH24" s="21">
        <v>1916.6666666666667</v>
      </c>
      <c r="AI24" s="21"/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30">
        <v>1</v>
      </c>
      <c r="BG24" s="30">
        <v>1</v>
      </c>
      <c r="BH24" s="30">
        <v>1</v>
      </c>
      <c r="BI24" s="30">
        <v>1</v>
      </c>
      <c r="BJ24" s="30">
        <v>1</v>
      </c>
      <c r="BK24" s="30">
        <v>1</v>
      </c>
      <c r="BL24" s="30">
        <v>1</v>
      </c>
      <c r="BM24" s="30">
        <v>1</v>
      </c>
      <c r="BN24" s="30">
        <v>1</v>
      </c>
      <c r="BO24" s="30">
        <v>1</v>
      </c>
      <c r="BP24" s="30">
        <v>1</v>
      </c>
      <c r="BQ24" s="30">
        <v>1</v>
      </c>
      <c r="BR24" s="30">
        <v>1</v>
      </c>
      <c r="BS24" s="30">
        <v>1</v>
      </c>
      <c r="BT24" s="30">
        <v>1</v>
      </c>
      <c r="BU24" s="30">
        <v>1</v>
      </c>
      <c r="BV24" s="30">
        <v>1</v>
      </c>
      <c r="BW24" s="30">
        <v>1</v>
      </c>
      <c r="BX24" s="30">
        <v>1</v>
      </c>
      <c r="BY24" s="30">
        <v>1</v>
      </c>
      <c r="BZ24" s="30">
        <v>1</v>
      </c>
      <c r="CA24" s="30">
        <v>1</v>
      </c>
      <c r="CB24" s="30">
        <v>1</v>
      </c>
      <c r="CC24" s="30">
        <v>1</v>
      </c>
      <c r="CD24" s="30">
        <v>1</v>
      </c>
      <c r="CE24" s="30">
        <v>1</v>
      </c>
      <c r="CF24" s="30">
        <v>1</v>
      </c>
      <c r="CG24" s="30">
        <v>1</v>
      </c>
      <c r="CH24" s="30">
        <v>1</v>
      </c>
      <c r="CI24" s="30">
        <v>1</v>
      </c>
      <c r="CJ24" s="30">
        <v>1</v>
      </c>
      <c r="CK24" s="30">
        <v>1</v>
      </c>
      <c r="CL24" s="30">
        <v>1</v>
      </c>
      <c r="CM24" s="30">
        <v>1</v>
      </c>
      <c r="CN24" s="30">
        <v>1</v>
      </c>
      <c r="CO24" s="30">
        <v>1</v>
      </c>
      <c r="CP24" s="30">
        <v>1</v>
      </c>
      <c r="CQ24" s="30">
        <v>1</v>
      </c>
      <c r="CR24" s="30">
        <v>1</v>
      </c>
      <c r="CS24" s="30">
        <v>1</v>
      </c>
      <c r="CT24" s="30">
        <v>1</v>
      </c>
      <c r="CU24" s="30">
        <v>1</v>
      </c>
      <c r="CV24" s="30">
        <v>1</v>
      </c>
      <c r="CW24" s="30">
        <v>1</v>
      </c>
      <c r="CX24" s="30">
        <v>1</v>
      </c>
      <c r="CY24" s="30">
        <v>1</v>
      </c>
      <c r="CZ24" s="30">
        <v>1</v>
      </c>
      <c r="DA24" s="30">
        <v>1</v>
      </c>
    </row>
    <row r="25" spans="1:105" x14ac:dyDescent="0.3">
      <c r="A25" s="34" t="str">
        <f t="shared" si="2"/>
        <v>Sricity - NMLCDM 20</v>
      </c>
      <c r="B25" s="20" t="s">
        <v>81</v>
      </c>
      <c r="C25" s="20" t="s">
        <v>17</v>
      </c>
      <c r="D25" s="19" t="s">
        <v>23</v>
      </c>
      <c r="E25" s="18" t="s">
        <v>28</v>
      </c>
      <c r="F25" s="30">
        <v>6</v>
      </c>
      <c r="G25" s="30">
        <v>1</v>
      </c>
      <c r="H25" s="30">
        <v>30</v>
      </c>
      <c r="I25" s="41"/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>
        <v>1482.936507936508</v>
      </c>
      <c r="AD25" s="21">
        <v>1482.936507936508</v>
      </c>
      <c r="AE25" s="21">
        <v>1482.936507936508</v>
      </c>
      <c r="AF25" s="21">
        <v>1482.936507936508</v>
      </c>
      <c r="AG25" s="21">
        <v>1482.936507936508</v>
      </c>
      <c r="AH25" s="21">
        <v>1482.936507936508</v>
      </c>
      <c r="AI25" s="21"/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30">
        <v>1</v>
      </c>
      <c r="BG25" s="30">
        <v>1</v>
      </c>
      <c r="BH25" s="30">
        <v>1</v>
      </c>
      <c r="BI25" s="30">
        <v>1</v>
      </c>
      <c r="BJ25" s="30">
        <v>1</v>
      </c>
      <c r="BK25" s="30">
        <v>1</v>
      </c>
      <c r="BL25" s="30">
        <v>1</v>
      </c>
      <c r="BM25" s="30">
        <v>1</v>
      </c>
      <c r="BN25" s="30">
        <v>1</v>
      </c>
      <c r="BO25" s="30">
        <v>1</v>
      </c>
      <c r="BP25" s="30">
        <v>1</v>
      </c>
      <c r="BQ25" s="30">
        <v>1</v>
      </c>
      <c r="BR25" s="30">
        <v>1</v>
      </c>
      <c r="BS25" s="30">
        <v>1</v>
      </c>
      <c r="BT25" s="30">
        <v>1</v>
      </c>
      <c r="BU25" s="30">
        <v>1</v>
      </c>
      <c r="BV25" s="30">
        <v>1</v>
      </c>
      <c r="BW25" s="30">
        <v>1</v>
      </c>
      <c r="BX25" s="30">
        <v>1</v>
      </c>
      <c r="BY25" s="30">
        <v>1</v>
      </c>
      <c r="BZ25" s="30">
        <v>1</v>
      </c>
      <c r="CA25" s="30">
        <v>1</v>
      </c>
      <c r="CB25" s="30">
        <v>1</v>
      </c>
      <c r="CC25" s="30">
        <v>1</v>
      </c>
      <c r="CD25" s="30">
        <v>1</v>
      </c>
      <c r="CE25" s="30">
        <v>1</v>
      </c>
      <c r="CF25" s="30">
        <v>1</v>
      </c>
      <c r="CG25" s="30">
        <v>1</v>
      </c>
      <c r="CH25" s="30">
        <v>1</v>
      </c>
      <c r="CI25" s="30">
        <v>1</v>
      </c>
      <c r="CJ25" s="30">
        <v>1</v>
      </c>
      <c r="CK25" s="30">
        <v>1</v>
      </c>
      <c r="CL25" s="30">
        <v>1</v>
      </c>
      <c r="CM25" s="30">
        <v>1</v>
      </c>
      <c r="CN25" s="30">
        <v>1</v>
      </c>
      <c r="CO25" s="30">
        <v>1</v>
      </c>
      <c r="CP25" s="30">
        <v>1</v>
      </c>
      <c r="CQ25" s="30">
        <v>1</v>
      </c>
      <c r="CR25" s="30">
        <v>1</v>
      </c>
      <c r="CS25" s="30">
        <v>1</v>
      </c>
      <c r="CT25" s="30">
        <v>1</v>
      </c>
      <c r="CU25" s="30">
        <v>1</v>
      </c>
      <c r="CV25" s="30">
        <v>1</v>
      </c>
      <c r="CW25" s="30">
        <v>1</v>
      </c>
      <c r="CX25" s="30">
        <v>1</v>
      </c>
      <c r="CY25" s="30">
        <v>1</v>
      </c>
      <c r="CZ25" s="30">
        <v>1</v>
      </c>
      <c r="DA25" s="30">
        <v>1</v>
      </c>
    </row>
    <row r="26" spans="1:105" x14ac:dyDescent="0.3">
      <c r="A26" s="34" t="str">
        <f t="shared" si="2"/>
        <v>Induri - MLCDM 20</v>
      </c>
      <c r="B26" s="20" t="s">
        <v>82</v>
      </c>
      <c r="C26" s="20" t="s">
        <v>9</v>
      </c>
      <c r="D26" s="19" t="s">
        <v>23</v>
      </c>
      <c r="E26" s="18" t="s">
        <v>28</v>
      </c>
      <c r="F26" s="30">
        <v>1</v>
      </c>
      <c r="G26" s="30">
        <v>2</v>
      </c>
      <c r="H26" s="30">
        <v>30</v>
      </c>
      <c r="I26" s="41"/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>
        <v>1541.6666666666667</v>
      </c>
      <c r="AD26" s="21">
        <v>1541.6666666666667</v>
      </c>
      <c r="AE26" s="21">
        <v>1541.6666666666667</v>
      </c>
      <c r="AF26" s="21">
        <v>1541.6666666666667</v>
      </c>
      <c r="AG26" s="21">
        <v>1541.6666666666667</v>
      </c>
      <c r="AH26" s="21">
        <v>1541.6666666666667</v>
      </c>
      <c r="AI26" s="21"/>
      <c r="AJ26" s="21">
        <v>0</v>
      </c>
      <c r="AK26" s="21">
        <v>0</v>
      </c>
      <c r="AL26" s="21">
        <v>0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30">
        <v>1</v>
      </c>
      <c r="BG26" s="30">
        <v>1</v>
      </c>
      <c r="BH26" s="30">
        <v>1</v>
      </c>
      <c r="BI26" s="30">
        <v>1</v>
      </c>
      <c r="BJ26" s="30">
        <v>1</v>
      </c>
      <c r="BK26" s="30">
        <v>1</v>
      </c>
      <c r="BL26" s="30">
        <v>1</v>
      </c>
      <c r="BM26" s="30">
        <v>1</v>
      </c>
      <c r="BN26" s="30">
        <v>1</v>
      </c>
      <c r="BO26" s="30">
        <v>1</v>
      </c>
      <c r="BP26" s="30">
        <v>1</v>
      </c>
      <c r="BQ26" s="30">
        <v>1</v>
      </c>
      <c r="BR26" s="30">
        <v>1</v>
      </c>
      <c r="BS26" s="30">
        <v>1</v>
      </c>
      <c r="BT26" s="30">
        <v>1</v>
      </c>
      <c r="BU26" s="30">
        <v>1</v>
      </c>
      <c r="BV26" s="30">
        <v>1</v>
      </c>
      <c r="BW26" s="30">
        <v>1</v>
      </c>
      <c r="BX26" s="30">
        <v>1</v>
      </c>
      <c r="BY26" s="30">
        <v>1</v>
      </c>
      <c r="BZ26" s="30">
        <v>1</v>
      </c>
      <c r="CA26" s="30">
        <v>1</v>
      </c>
      <c r="CB26" s="30">
        <v>1</v>
      </c>
      <c r="CC26" s="30">
        <v>1</v>
      </c>
      <c r="CD26" s="30">
        <v>1</v>
      </c>
      <c r="CE26" s="30">
        <v>1</v>
      </c>
      <c r="CF26" s="30">
        <v>1</v>
      </c>
      <c r="CG26" s="30">
        <v>1</v>
      </c>
      <c r="CH26" s="30">
        <v>1</v>
      </c>
      <c r="CI26" s="30">
        <v>1</v>
      </c>
      <c r="CJ26" s="30">
        <v>1</v>
      </c>
      <c r="CK26" s="30">
        <v>1</v>
      </c>
      <c r="CL26" s="30">
        <v>1</v>
      </c>
      <c r="CM26" s="30">
        <v>1</v>
      </c>
      <c r="CN26" s="30">
        <v>1</v>
      </c>
      <c r="CO26" s="30">
        <v>1</v>
      </c>
      <c r="CP26" s="30">
        <v>1</v>
      </c>
      <c r="CQ26" s="30">
        <v>1</v>
      </c>
      <c r="CR26" s="30">
        <v>1</v>
      </c>
      <c r="CS26" s="30">
        <v>1</v>
      </c>
      <c r="CT26" s="30">
        <v>1</v>
      </c>
      <c r="CU26" s="30">
        <v>1</v>
      </c>
      <c r="CV26" s="30">
        <v>1</v>
      </c>
      <c r="CW26" s="30">
        <v>1</v>
      </c>
      <c r="CX26" s="30">
        <v>1</v>
      </c>
      <c r="CY26" s="30">
        <v>1</v>
      </c>
      <c r="CZ26" s="30">
        <v>1</v>
      </c>
      <c r="DA26" s="30">
        <v>1</v>
      </c>
    </row>
    <row r="27" spans="1:105" x14ac:dyDescent="0.3">
      <c r="A27" s="34" t="str">
        <f t="shared" si="2"/>
        <v>Sricity - NMLCDM 20 NEPAL</v>
      </c>
      <c r="B27" s="20" t="s">
        <v>81</v>
      </c>
      <c r="C27" s="20" t="s">
        <v>17</v>
      </c>
      <c r="D27" s="19" t="s">
        <v>23</v>
      </c>
      <c r="E27" s="18" t="s">
        <v>221</v>
      </c>
      <c r="F27" s="30">
        <v>6</v>
      </c>
      <c r="G27" s="30">
        <v>1</v>
      </c>
      <c r="H27" s="30">
        <v>30</v>
      </c>
      <c r="I27" s="41"/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>
        <v>1541.6666666666667</v>
      </c>
      <c r="AD27" s="21">
        <v>1541.6666666666667</v>
      </c>
      <c r="AE27" s="21">
        <v>1541.6666666666667</v>
      </c>
      <c r="AF27" s="21">
        <v>1541.6666666666667</v>
      </c>
      <c r="AG27" s="21">
        <v>1541.6666666666667</v>
      </c>
      <c r="AH27" s="21">
        <v>1541.6666666666667</v>
      </c>
      <c r="AI27" s="21"/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30">
        <v>1</v>
      </c>
      <c r="BG27" s="30">
        <v>1</v>
      </c>
      <c r="BH27" s="30">
        <v>1</v>
      </c>
      <c r="BI27" s="30">
        <v>1</v>
      </c>
      <c r="BJ27" s="30">
        <v>1</v>
      </c>
      <c r="BK27" s="30">
        <v>1</v>
      </c>
      <c r="BL27" s="30">
        <v>1</v>
      </c>
      <c r="BM27" s="30">
        <v>1</v>
      </c>
      <c r="BN27" s="30">
        <v>1</v>
      </c>
      <c r="BO27" s="30">
        <v>1</v>
      </c>
      <c r="BP27" s="30">
        <v>1</v>
      </c>
      <c r="BQ27" s="30">
        <v>1</v>
      </c>
      <c r="BR27" s="30">
        <v>1</v>
      </c>
      <c r="BS27" s="30">
        <v>1</v>
      </c>
      <c r="BT27" s="30">
        <v>1</v>
      </c>
      <c r="BU27" s="30">
        <v>1</v>
      </c>
      <c r="BV27" s="30">
        <v>1</v>
      </c>
      <c r="BW27" s="30">
        <v>1</v>
      </c>
      <c r="BX27" s="30">
        <v>1</v>
      </c>
      <c r="BY27" s="30">
        <v>1</v>
      </c>
      <c r="BZ27" s="30">
        <v>1</v>
      </c>
      <c r="CA27" s="30">
        <v>1</v>
      </c>
      <c r="CB27" s="30">
        <v>1</v>
      </c>
      <c r="CC27" s="30">
        <v>1</v>
      </c>
      <c r="CD27" s="30">
        <v>1</v>
      </c>
      <c r="CE27" s="30">
        <v>1</v>
      </c>
      <c r="CF27" s="30">
        <v>1</v>
      </c>
      <c r="CG27" s="30">
        <v>1</v>
      </c>
      <c r="CH27" s="30">
        <v>1</v>
      </c>
      <c r="CI27" s="30">
        <v>1</v>
      </c>
      <c r="CJ27" s="30">
        <v>1</v>
      </c>
      <c r="CK27" s="30">
        <v>1</v>
      </c>
      <c r="CL27" s="30">
        <v>1</v>
      </c>
      <c r="CM27" s="30">
        <v>1</v>
      </c>
      <c r="CN27" s="30">
        <v>1</v>
      </c>
      <c r="CO27" s="30">
        <v>1</v>
      </c>
      <c r="CP27" s="30">
        <v>1</v>
      </c>
      <c r="CQ27" s="30">
        <v>1</v>
      </c>
      <c r="CR27" s="30">
        <v>1</v>
      </c>
      <c r="CS27" s="30">
        <v>1</v>
      </c>
      <c r="CT27" s="30">
        <v>1</v>
      </c>
      <c r="CU27" s="30">
        <v>1</v>
      </c>
      <c r="CV27" s="30">
        <v>1</v>
      </c>
      <c r="CW27" s="30">
        <v>1</v>
      </c>
      <c r="CX27" s="30">
        <v>1</v>
      </c>
      <c r="CY27" s="30">
        <v>1</v>
      </c>
      <c r="CZ27" s="30">
        <v>1</v>
      </c>
      <c r="DA27" s="30">
        <v>1</v>
      </c>
    </row>
    <row r="28" spans="1:105" x14ac:dyDescent="0.3">
      <c r="A28" s="34" t="str">
        <f t="shared" si="2"/>
        <v>Induri - MLCDM 20 NEPAL</v>
      </c>
      <c r="B28" s="20" t="s">
        <v>82</v>
      </c>
      <c r="C28" s="20" t="s">
        <v>9</v>
      </c>
      <c r="D28" s="19" t="s">
        <v>23</v>
      </c>
      <c r="E28" s="18" t="s">
        <v>221</v>
      </c>
      <c r="F28" s="30">
        <v>1</v>
      </c>
      <c r="G28" s="30">
        <v>1</v>
      </c>
      <c r="H28" s="30">
        <v>30</v>
      </c>
      <c r="I28" s="41"/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>
        <v>1541.6666666666667</v>
      </c>
      <c r="AD28" s="21">
        <v>1541.6666666666667</v>
      </c>
      <c r="AE28" s="21">
        <v>1541.6666666666667</v>
      </c>
      <c r="AF28" s="21">
        <v>1541.6666666666667</v>
      </c>
      <c r="AG28" s="21">
        <v>1541.6666666666667</v>
      </c>
      <c r="AH28" s="21">
        <v>1541.6666666666667</v>
      </c>
      <c r="AI28" s="21"/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30">
        <v>1</v>
      </c>
      <c r="BG28" s="30">
        <v>1</v>
      </c>
      <c r="BH28" s="30">
        <v>1</v>
      </c>
      <c r="BI28" s="30">
        <v>1</v>
      </c>
      <c r="BJ28" s="30">
        <v>1</v>
      </c>
      <c r="BK28" s="30">
        <v>1</v>
      </c>
      <c r="BL28" s="30">
        <v>1</v>
      </c>
      <c r="BM28" s="30">
        <v>1</v>
      </c>
      <c r="BN28" s="30">
        <v>1</v>
      </c>
      <c r="BO28" s="30">
        <v>1</v>
      </c>
      <c r="BP28" s="30">
        <v>1</v>
      </c>
      <c r="BQ28" s="30">
        <v>1</v>
      </c>
      <c r="BR28" s="30">
        <v>1</v>
      </c>
      <c r="BS28" s="30">
        <v>1</v>
      </c>
      <c r="BT28" s="30">
        <v>1</v>
      </c>
      <c r="BU28" s="30">
        <v>1</v>
      </c>
      <c r="BV28" s="30">
        <v>1</v>
      </c>
      <c r="BW28" s="30">
        <v>1</v>
      </c>
      <c r="BX28" s="30">
        <v>1</v>
      </c>
      <c r="BY28" s="30">
        <v>1</v>
      </c>
      <c r="BZ28" s="30">
        <v>1</v>
      </c>
      <c r="CA28" s="30">
        <v>1</v>
      </c>
      <c r="CB28" s="30">
        <v>1</v>
      </c>
      <c r="CC28" s="30">
        <v>1</v>
      </c>
      <c r="CD28" s="30">
        <v>1</v>
      </c>
      <c r="CE28" s="30">
        <v>1</v>
      </c>
      <c r="CF28" s="30">
        <v>1</v>
      </c>
      <c r="CG28" s="30">
        <v>1</v>
      </c>
      <c r="CH28" s="30">
        <v>1</v>
      </c>
      <c r="CI28" s="30">
        <v>1</v>
      </c>
      <c r="CJ28" s="30">
        <v>1</v>
      </c>
      <c r="CK28" s="30">
        <v>1</v>
      </c>
      <c r="CL28" s="30">
        <v>1</v>
      </c>
      <c r="CM28" s="30">
        <v>1</v>
      </c>
      <c r="CN28" s="30">
        <v>1</v>
      </c>
      <c r="CO28" s="30">
        <v>1</v>
      </c>
      <c r="CP28" s="30">
        <v>1</v>
      </c>
      <c r="CQ28" s="30">
        <v>1</v>
      </c>
      <c r="CR28" s="30">
        <v>1</v>
      </c>
      <c r="CS28" s="30">
        <v>1</v>
      </c>
      <c r="CT28" s="30">
        <v>1</v>
      </c>
      <c r="CU28" s="30">
        <v>1</v>
      </c>
      <c r="CV28" s="30">
        <v>1</v>
      </c>
      <c r="CW28" s="30">
        <v>1</v>
      </c>
      <c r="CX28" s="30">
        <v>1</v>
      </c>
      <c r="CY28" s="30">
        <v>1</v>
      </c>
      <c r="CZ28" s="30">
        <v>1</v>
      </c>
      <c r="DA28" s="30">
        <v>1</v>
      </c>
    </row>
    <row r="29" spans="1:105" x14ac:dyDescent="0.3">
      <c r="A29" s="34" t="str">
        <f t="shared" si="2"/>
        <v>Baddi - DPCCDM 30</v>
      </c>
      <c r="B29" s="27" t="s">
        <v>36</v>
      </c>
      <c r="C29" s="20" t="s">
        <v>1</v>
      </c>
      <c r="D29" s="19" t="s">
        <v>23</v>
      </c>
      <c r="E29" s="18" t="s">
        <v>30</v>
      </c>
      <c r="F29" s="30">
        <v>4</v>
      </c>
      <c r="G29" s="30">
        <v>3</v>
      </c>
      <c r="H29" s="30">
        <v>30</v>
      </c>
      <c r="I29" s="41"/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>
        <v>1500</v>
      </c>
      <c r="AD29" s="21">
        <v>1500</v>
      </c>
      <c r="AE29" s="21">
        <v>1500</v>
      </c>
      <c r="AF29" s="21">
        <v>1500</v>
      </c>
      <c r="AG29" s="21">
        <v>1500</v>
      </c>
      <c r="AH29" s="21">
        <v>1500</v>
      </c>
      <c r="AI29" s="21"/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30">
        <v>1</v>
      </c>
      <c r="BG29" s="30">
        <v>1</v>
      </c>
      <c r="BH29" s="30">
        <v>1</v>
      </c>
      <c r="BI29" s="30">
        <v>1</v>
      </c>
      <c r="BJ29" s="30">
        <v>1</v>
      </c>
      <c r="BK29" s="30">
        <v>1</v>
      </c>
      <c r="BL29" s="30">
        <v>1</v>
      </c>
      <c r="BM29" s="30">
        <v>1</v>
      </c>
      <c r="BN29" s="30">
        <v>1</v>
      </c>
      <c r="BO29" s="30">
        <v>1</v>
      </c>
      <c r="BP29" s="30">
        <v>1</v>
      </c>
      <c r="BQ29" s="30">
        <v>1</v>
      </c>
      <c r="BR29" s="30">
        <v>1</v>
      </c>
      <c r="BS29" s="30">
        <v>1</v>
      </c>
      <c r="BT29" s="30">
        <v>1</v>
      </c>
      <c r="BU29" s="30">
        <v>1</v>
      </c>
      <c r="BV29" s="30">
        <v>1</v>
      </c>
      <c r="BW29" s="30">
        <v>1</v>
      </c>
      <c r="BX29" s="30">
        <v>1</v>
      </c>
      <c r="BY29" s="30">
        <v>1</v>
      </c>
      <c r="BZ29" s="30">
        <v>1</v>
      </c>
      <c r="CA29" s="30">
        <v>1</v>
      </c>
      <c r="CB29" s="30">
        <v>1</v>
      </c>
      <c r="CC29" s="30">
        <v>1</v>
      </c>
      <c r="CD29" s="30">
        <v>1</v>
      </c>
      <c r="CE29" s="30">
        <v>1</v>
      </c>
      <c r="CF29" s="30">
        <v>1</v>
      </c>
      <c r="CG29" s="30">
        <v>1</v>
      </c>
      <c r="CH29" s="30">
        <v>1</v>
      </c>
      <c r="CI29" s="30">
        <v>1</v>
      </c>
      <c r="CJ29" s="30">
        <v>1</v>
      </c>
      <c r="CK29" s="30">
        <v>1</v>
      </c>
      <c r="CL29" s="30">
        <v>1</v>
      </c>
      <c r="CM29" s="30">
        <v>1</v>
      </c>
      <c r="CN29" s="30">
        <v>1</v>
      </c>
      <c r="CO29" s="30">
        <v>1</v>
      </c>
      <c r="CP29" s="30">
        <v>1</v>
      </c>
      <c r="CQ29" s="30">
        <v>1</v>
      </c>
      <c r="CR29" s="30">
        <v>1</v>
      </c>
      <c r="CS29" s="30">
        <v>1</v>
      </c>
      <c r="CT29" s="30">
        <v>1</v>
      </c>
      <c r="CU29" s="30">
        <v>1</v>
      </c>
      <c r="CV29" s="30">
        <v>1</v>
      </c>
      <c r="CW29" s="30">
        <v>1</v>
      </c>
      <c r="CX29" s="30">
        <v>1</v>
      </c>
      <c r="CY29" s="30">
        <v>1</v>
      </c>
      <c r="CZ29" s="30">
        <v>1</v>
      </c>
      <c r="DA29" s="30">
        <v>1</v>
      </c>
    </row>
    <row r="30" spans="1:105" x14ac:dyDescent="0.3">
      <c r="A30" s="34" t="str">
        <f t="shared" si="2"/>
        <v>Induri - MLCDM 30</v>
      </c>
      <c r="B30" s="27" t="s">
        <v>82</v>
      </c>
      <c r="C30" s="20" t="s">
        <v>9</v>
      </c>
      <c r="D30" s="19" t="s">
        <v>23</v>
      </c>
      <c r="E30" s="18" t="s">
        <v>30</v>
      </c>
      <c r="F30" s="30">
        <v>2</v>
      </c>
      <c r="G30" s="30">
        <v>3</v>
      </c>
      <c r="H30" s="30"/>
      <c r="I30" s="4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>
        <v>1500</v>
      </c>
      <c r="AD30" s="21">
        <v>1500</v>
      </c>
      <c r="AE30" s="21">
        <v>1500</v>
      </c>
      <c r="AF30" s="21">
        <v>1500</v>
      </c>
      <c r="AG30" s="21">
        <v>1500</v>
      </c>
      <c r="AH30" s="21">
        <v>1500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30">
        <v>1</v>
      </c>
      <c r="BG30" s="30">
        <v>1</v>
      </c>
      <c r="BH30" s="30">
        <v>1</v>
      </c>
      <c r="BI30" s="30">
        <v>1</v>
      </c>
      <c r="BJ30" s="30">
        <v>1</v>
      </c>
      <c r="BK30" s="30">
        <v>1</v>
      </c>
      <c r="BL30" s="30">
        <v>1</v>
      </c>
      <c r="BM30" s="30">
        <v>1</v>
      </c>
      <c r="BN30" s="30">
        <v>1</v>
      </c>
      <c r="BO30" s="30">
        <v>1</v>
      </c>
      <c r="BP30" s="30">
        <v>1</v>
      </c>
      <c r="BQ30" s="30">
        <v>1</v>
      </c>
      <c r="BR30" s="30">
        <v>1</v>
      </c>
      <c r="BS30" s="30">
        <v>1</v>
      </c>
      <c r="BT30" s="30">
        <v>1</v>
      </c>
      <c r="BU30" s="30">
        <v>1</v>
      </c>
      <c r="BV30" s="30">
        <v>1</v>
      </c>
      <c r="BW30" s="30">
        <v>1</v>
      </c>
      <c r="BX30" s="30">
        <v>1</v>
      </c>
      <c r="BY30" s="30">
        <v>1</v>
      </c>
      <c r="BZ30" s="30">
        <v>1</v>
      </c>
      <c r="CA30" s="30">
        <v>1</v>
      </c>
      <c r="CB30" s="30">
        <v>1</v>
      </c>
      <c r="CC30" s="30">
        <v>1</v>
      </c>
      <c r="CD30" s="30">
        <v>1</v>
      </c>
      <c r="CE30" s="30">
        <v>1</v>
      </c>
      <c r="CF30" s="30">
        <v>1</v>
      </c>
      <c r="CG30" s="30">
        <v>1</v>
      </c>
      <c r="CH30" s="30">
        <v>1</v>
      </c>
      <c r="CI30" s="30">
        <v>1</v>
      </c>
      <c r="CJ30" s="30">
        <v>1</v>
      </c>
      <c r="CK30" s="30">
        <v>1</v>
      </c>
      <c r="CL30" s="30">
        <v>1</v>
      </c>
      <c r="CM30" s="30">
        <v>1</v>
      </c>
      <c r="CN30" s="30">
        <v>1</v>
      </c>
      <c r="CO30" s="30">
        <v>1</v>
      </c>
      <c r="CP30" s="30">
        <v>1</v>
      </c>
      <c r="CQ30" s="30">
        <v>1</v>
      </c>
      <c r="CR30" s="30">
        <v>1</v>
      </c>
      <c r="CS30" s="30">
        <v>1</v>
      </c>
      <c r="CT30" s="30">
        <v>1</v>
      </c>
      <c r="CU30" s="30">
        <v>1</v>
      </c>
      <c r="CV30" s="30">
        <v>1</v>
      </c>
      <c r="CW30" s="30">
        <v>1</v>
      </c>
      <c r="CX30" s="30">
        <v>1</v>
      </c>
      <c r="CY30" s="30">
        <v>1</v>
      </c>
      <c r="CZ30" s="30">
        <v>1</v>
      </c>
      <c r="DA30" s="30">
        <v>1</v>
      </c>
    </row>
    <row r="31" spans="1:105" x14ac:dyDescent="0.3">
      <c r="A31" s="34" t="str">
        <f t="shared" si="2"/>
        <v>Sricity - ULCDM 30</v>
      </c>
      <c r="B31" s="20" t="s">
        <v>81</v>
      </c>
      <c r="C31" s="20" t="s">
        <v>18</v>
      </c>
      <c r="D31" s="19" t="s">
        <v>23</v>
      </c>
      <c r="E31" s="18" t="s">
        <v>30</v>
      </c>
      <c r="F31" s="30">
        <v>8</v>
      </c>
      <c r="G31" s="30">
        <v>3</v>
      </c>
      <c r="H31" s="30">
        <v>30</v>
      </c>
      <c r="I31" s="41"/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>
        <v>1500</v>
      </c>
      <c r="AD31" s="21">
        <v>1500</v>
      </c>
      <c r="AE31" s="21">
        <v>1500</v>
      </c>
      <c r="AF31" s="21">
        <v>1500</v>
      </c>
      <c r="AG31" s="21">
        <v>1500</v>
      </c>
      <c r="AH31" s="21">
        <v>1500</v>
      </c>
      <c r="AI31" s="21"/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30">
        <v>1</v>
      </c>
      <c r="BG31" s="30">
        <v>1</v>
      </c>
      <c r="BH31" s="30">
        <v>1</v>
      </c>
      <c r="BI31" s="30">
        <v>1</v>
      </c>
      <c r="BJ31" s="30">
        <v>1</v>
      </c>
      <c r="BK31" s="30">
        <v>1</v>
      </c>
      <c r="BL31" s="30">
        <v>1</v>
      </c>
      <c r="BM31" s="30">
        <v>1</v>
      </c>
      <c r="BN31" s="30">
        <v>1</v>
      </c>
      <c r="BO31" s="30">
        <v>1</v>
      </c>
      <c r="BP31" s="30">
        <v>1</v>
      </c>
      <c r="BQ31" s="30">
        <v>1</v>
      </c>
      <c r="BR31" s="30">
        <v>1</v>
      </c>
      <c r="BS31" s="30">
        <v>1</v>
      </c>
      <c r="BT31" s="30">
        <v>1</v>
      </c>
      <c r="BU31" s="30">
        <v>1</v>
      </c>
      <c r="BV31" s="30">
        <v>1</v>
      </c>
      <c r="BW31" s="30">
        <v>1</v>
      </c>
      <c r="BX31" s="30">
        <v>1</v>
      </c>
      <c r="BY31" s="30">
        <v>1</v>
      </c>
      <c r="BZ31" s="30">
        <v>1</v>
      </c>
      <c r="CA31" s="30">
        <v>1</v>
      </c>
      <c r="CB31" s="30">
        <v>1</v>
      </c>
      <c r="CC31" s="30">
        <v>1</v>
      </c>
      <c r="CD31" s="30">
        <v>1</v>
      </c>
      <c r="CE31" s="30">
        <v>1</v>
      </c>
      <c r="CF31" s="30">
        <v>1</v>
      </c>
      <c r="CG31" s="30">
        <v>1</v>
      </c>
      <c r="CH31" s="30">
        <v>1</v>
      </c>
      <c r="CI31" s="30">
        <v>1</v>
      </c>
      <c r="CJ31" s="30">
        <v>1</v>
      </c>
      <c r="CK31" s="30">
        <v>1</v>
      </c>
      <c r="CL31" s="30">
        <v>1</v>
      </c>
      <c r="CM31" s="30">
        <v>1</v>
      </c>
      <c r="CN31" s="30">
        <v>1</v>
      </c>
      <c r="CO31" s="30">
        <v>1</v>
      </c>
      <c r="CP31" s="30">
        <v>1</v>
      </c>
      <c r="CQ31" s="30">
        <v>1</v>
      </c>
      <c r="CR31" s="30">
        <v>1</v>
      </c>
      <c r="CS31" s="30">
        <v>1</v>
      </c>
      <c r="CT31" s="30">
        <v>1</v>
      </c>
      <c r="CU31" s="30">
        <v>1</v>
      </c>
      <c r="CV31" s="30">
        <v>1</v>
      </c>
      <c r="CW31" s="30">
        <v>1</v>
      </c>
      <c r="CX31" s="30">
        <v>1</v>
      </c>
      <c r="CY31" s="30">
        <v>1</v>
      </c>
      <c r="CZ31" s="30">
        <v>1</v>
      </c>
      <c r="DA31" s="30">
        <v>1</v>
      </c>
    </row>
    <row r="32" spans="1:105" x14ac:dyDescent="0.3">
      <c r="A32" s="34" t="str">
        <f t="shared" si="2"/>
        <v>Sricity - NMLCDM 30</v>
      </c>
      <c r="B32" s="20" t="s">
        <v>81</v>
      </c>
      <c r="C32" s="20" t="s">
        <v>17</v>
      </c>
      <c r="D32" s="19" t="s">
        <v>23</v>
      </c>
      <c r="E32" s="18" t="s">
        <v>30</v>
      </c>
      <c r="F32" s="30">
        <v>7</v>
      </c>
      <c r="G32" s="30">
        <v>3</v>
      </c>
      <c r="H32" s="30">
        <v>30</v>
      </c>
      <c r="I32" s="41"/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>
        <v>1500</v>
      </c>
      <c r="AD32" s="21">
        <v>1500</v>
      </c>
      <c r="AE32" s="21">
        <v>1500</v>
      </c>
      <c r="AF32" s="21">
        <v>1500</v>
      </c>
      <c r="AG32" s="21">
        <v>1500</v>
      </c>
      <c r="AH32" s="21">
        <v>1500</v>
      </c>
      <c r="AI32" s="21"/>
      <c r="AJ32" s="21">
        <v>0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30">
        <v>1</v>
      </c>
      <c r="BG32" s="30">
        <v>1</v>
      </c>
      <c r="BH32" s="30">
        <v>1</v>
      </c>
      <c r="BI32" s="30">
        <v>1</v>
      </c>
      <c r="BJ32" s="30">
        <v>1</v>
      </c>
      <c r="BK32" s="30">
        <v>1</v>
      </c>
      <c r="BL32" s="30">
        <v>1</v>
      </c>
      <c r="BM32" s="30">
        <v>1</v>
      </c>
      <c r="BN32" s="30">
        <v>1</v>
      </c>
      <c r="BO32" s="30">
        <v>1</v>
      </c>
      <c r="BP32" s="30">
        <v>1</v>
      </c>
      <c r="BQ32" s="30">
        <v>1</v>
      </c>
      <c r="BR32" s="30">
        <v>1</v>
      </c>
      <c r="BS32" s="30">
        <v>1</v>
      </c>
      <c r="BT32" s="30">
        <v>1</v>
      </c>
      <c r="BU32" s="30">
        <v>1</v>
      </c>
      <c r="BV32" s="30">
        <v>1</v>
      </c>
      <c r="BW32" s="30">
        <v>1</v>
      </c>
      <c r="BX32" s="30">
        <v>1</v>
      </c>
      <c r="BY32" s="30">
        <v>1</v>
      </c>
      <c r="BZ32" s="30">
        <v>1</v>
      </c>
      <c r="CA32" s="30">
        <v>1</v>
      </c>
      <c r="CB32" s="30">
        <v>1</v>
      </c>
      <c r="CC32" s="30">
        <v>1</v>
      </c>
      <c r="CD32" s="30">
        <v>1</v>
      </c>
      <c r="CE32" s="30">
        <v>1</v>
      </c>
      <c r="CF32" s="30">
        <v>1</v>
      </c>
      <c r="CG32" s="30">
        <v>1</v>
      </c>
      <c r="CH32" s="30">
        <v>1</v>
      </c>
      <c r="CI32" s="30">
        <v>1</v>
      </c>
      <c r="CJ32" s="30">
        <v>1</v>
      </c>
      <c r="CK32" s="30">
        <v>1</v>
      </c>
      <c r="CL32" s="30">
        <v>1</v>
      </c>
      <c r="CM32" s="30">
        <v>1</v>
      </c>
      <c r="CN32" s="30">
        <v>1</v>
      </c>
      <c r="CO32" s="30">
        <v>1</v>
      </c>
      <c r="CP32" s="30">
        <v>1</v>
      </c>
      <c r="CQ32" s="30">
        <v>1</v>
      </c>
      <c r="CR32" s="30">
        <v>1</v>
      </c>
      <c r="CS32" s="30">
        <v>1</v>
      </c>
      <c r="CT32" s="30">
        <v>1</v>
      </c>
      <c r="CU32" s="30">
        <v>1</v>
      </c>
      <c r="CV32" s="30">
        <v>1</v>
      </c>
      <c r="CW32" s="30">
        <v>1</v>
      </c>
      <c r="CX32" s="30">
        <v>1</v>
      </c>
      <c r="CY32" s="30">
        <v>1</v>
      </c>
      <c r="CZ32" s="30">
        <v>1</v>
      </c>
      <c r="DA32" s="30">
        <v>1</v>
      </c>
    </row>
    <row r="33" spans="1:105" x14ac:dyDescent="0.3">
      <c r="A33" s="34" t="str">
        <f t="shared" si="2"/>
        <v>Baddi - E4CDM 40</v>
      </c>
      <c r="B33" s="27" t="s">
        <v>83</v>
      </c>
      <c r="C33" s="20" t="s">
        <v>7</v>
      </c>
      <c r="D33" s="19" t="s">
        <v>23</v>
      </c>
      <c r="E33" s="18" t="s">
        <v>31</v>
      </c>
      <c r="F33" s="30">
        <v>6</v>
      </c>
      <c r="G33" s="30">
        <v>2</v>
      </c>
      <c r="H33" s="30">
        <v>30</v>
      </c>
      <c r="I33" s="41"/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/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30">
        <v>1</v>
      </c>
      <c r="BG33" s="30">
        <v>1</v>
      </c>
      <c r="BH33" s="30">
        <v>1</v>
      </c>
      <c r="BI33" s="30">
        <v>1</v>
      </c>
      <c r="BJ33" s="30">
        <v>1</v>
      </c>
      <c r="BK33" s="30">
        <v>1</v>
      </c>
      <c r="BL33" s="30">
        <v>1</v>
      </c>
      <c r="BM33" s="30">
        <v>1</v>
      </c>
      <c r="BN33" s="30">
        <v>1</v>
      </c>
      <c r="BO33" s="30">
        <v>1</v>
      </c>
      <c r="BP33" s="30">
        <v>1</v>
      </c>
      <c r="BQ33" s="30">
        <v>1</v>
      </c>
      <c r="BR33" s="30">
        <v>1</v>
      </c>
      <c r="BS33" s="30">
        <v>1</v>
      </c>
      <c r="BT33" s="30">
        <v>1</v>
      </c>
      <c r="BU33" s="30">
        <v>1</v>
      </c>
      <c r="BV33" s="30">
        <v>1</v>
      </c>
      <c r="BW33" s="30">
        <v>1</v>
      </c>
      <c r="BX33" s="30">
        <v>1</v>
      </c>
      <c r="BY33" s="30">
        <v>1</v>
      </c>
      <c r="BZ33" s="30">
        <v>1</v>
      </c>
      <c r="CA33" s="30">
        <v>1</v>
      </c>
      <c r="CB33" s="30">
        <v>1</v>
      </c>
      <c r="CC33" s="30">
        <v>1</v>
      </c>
      <c r="CD33" s="30">
        <v>1</v>
      </c>
      <c r="CE33" s="30">
        <v>1</v>
      </c>
      <c r="CF33" s="30">
        <v>1</v>
      </c>
      <c r="CG33" s="30">
        <v>1</v>
      </c>
      <c r="CH33" s="30">
        <v>1</v>
      </c>
      <c r="CI33" s="30">
        <v>1</v>
      </c>
      <c r="CJ33" s="30">
        <v>1</v>
      </c>
      <c r="CK33" s="30">
        <v>1</v>
      </c>
      <c r="CL33" s="30">
        <v>1</v>
      </c>
      <c r="CM33" s="30">
        <v>1</v>
      </c>
      <c r="CN33" s="30">
        <v>1</v>
      </c>
      <c r="CO33" s="30">
        <v>1</v>
      </c>
      <c r="CP33" s="30">
        <v>1</v>
      </c>
      <c r="CQ33" s="30">
        <v>1</v>
      </c>
      <c r="CR33" s="30">
        <v>1</v>
      </c>
      <c r="CS33" s="30">
        <v>1</v>
      </c>
      <c r="CT33" s="30">
        <v>1</v>
      </c>
      <c r="CU33" s="30">
        <v>1</v>
      </c>
      <c r="CV33" s="30">
        <v>1</v>
      </c>
      <c r="CW33" s="30">
        <v>1</v>
      </c>
      <c r="CX33" s="30">
        <v>1</v>
      </c>
      <c r="CY33" s="30">
        <v>1</v>
      </c>
      <c r="CZ33" s="30">
        <v>1</v>
      </c>
      <c r="DA33" s="30">
        <v>1</v>
      </c>
    </row>
    <row r="34" spans="1:105" x14ac:dyDescent="0.3">
      <c r="A34" s="34" t="str">
        <f t="shared" si="2"/>
        <v>Induri - C&amp;MCDM 40</v>
      </c>
      <c r="B34" s="20" t="s">
        <v>82</v>
      </c>
      <c r="C34" s="20" t="s">
        <v>2</v>
      </c>
      <c r="D34" s="19" t="s">
        <v>23</v>
      </c>
      <c r="E34" s="18" t="s">
        <v>31</v>
      </c>
      <c r="F34" s="30">
        <v>1</v>
      </c>
      <c r="G34" s="30">
        <v>3</v>
      </c>
      <c r="H34" s="30">
        <v>30</v>
      </c>
      <c r="I34" s="41"/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/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0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30">
        <v>1</v>
      </c>
      <c r="BG34" s="30">
        <v>1</v>
      </c>
      <c r="BH34" s="30">
        <v>1</v>
      </c>
      <c r="BI34" s="30">
        <v>1</v>
      </c>
      <c r="BJ34" s="30">
        <v>1</v>
      </c>
      <c r="BK34" s="30">
        <v>1</v>
      </c>
      <c r="BL34" s="30">
        <v>1</v>
      </c>
      <c r="BM34" s="30">
        <v>1</v>
      </c>
      <c r="BN34" s="30">
        <v>1</v>
      </c>
      <c r="BO34" s="30">
        <v>1</v>
      </c>
      <c r="BP34" s="30">
        <v>1</v>
      </c>
      <c r="BQ34" s="30">
        <v>1</v>
      </c>
      <c r="BR34" s="30">
        <v>1</v>
      </c>
      <c r="BS34" s="30">
        <v>1</v>
      </c>
      <c r="BT34" s="30">
        <v>1</v>
      </c>
      <c r="BU34" s="30">
        <v>1</v>
      </c>
      <c r="BV34" s="30">
        <v>1</v>
      </c>
      <c r="BW34" s="30">
        <v>1</v>
      </c>
      <c r="BX34" s="30">
        <v>1</v>
      </c>
      <c r="BY34" s="30">
        <v>1</v>
      </c>
      <c r="BZ34" s="30">
        <v>1</v>
      </c>
      <c r="CA34" s="30">
        <v>1</v>
      </c>
      <c r="CB34" s="30">
        <v>1</v>
      </c>
      <c r="CC34" s="30">
        <v>1</v>
      </c>
      <c r="CD34" s="30">
        <v>1</v>
      </c>
      <c r="CE34" s="30">
        <v>1</v>
      </c>
      <c r="CF34" s="30">
        <v>1</v>
      </c>
      <c r="CG34" s="30">
        <v>1</v>
      </c>
      <c r="CH34" s="30">
        <v>1</v>
      </c>
      <c r="CI34" s="30">
        <v>1</v>
      </c>
      <c r="CJ34" s="30">
        <v>1</v>
      </c>
      <c r="CK34" s="30">
        <v>1</v>
      </c>
      <c r="CL34" s="30">
        <v>1</v>
      </c>
      <c r="CM34" s="30">
        <v>1</v>
      </c>
      <c r="CN34" s="30">
        <v>1</v>
      </c>
      <c r="CO34" s="30">
        <v>1</v>
      </c>
      <c r="CP34" s="30">
        <v>1</v>
      </c>
      <c r="CQ34" s="30">
        <v>1</v>
      </c>
      <c r="CR34" s="30">
        <v>1</v>
      </c>
      <c r="CS34" s="30">
        <v>1</v>
      </c>
      <c r="CT34" s="30">
        <v>1</v>
      </c>
      <c r="CU34" s="30">
        <v>1</v>
      </c>
      <c r="CV34" s="30">
        <v>1</v>
      </c>
      <c r="CW34" s="30">
        <v>1</v>
      </c>
      <c r="CX34" s="30">
        <v>1</v>
      </c>
      <c r="CY34" s="30">
        <v>1</v>
      </c>
      <c r="CZ34" s="30">
        <v>1</v>
      </c>
      <c r="DA34" s="30">
        <v>1</v>
      </c>
    </row>
    <row r="35" spans="1:105" x14ac:dyDescent="0.3">
      <c r="A35" s="34" t="str">
        <f t="shared" si="2"/>
        <v>Sricity - NMLCDM 40</v>
      </c>
      <c r="B35" s="20" t="s">
        <v>81</v>
      </c>
      <c r="C35" s="20" t="s">
        <v>17</v>
      </c>
      <c r="D35" s="19" t="s">
        <v>23</v>
      </c>
      <c r="E35" s="18" t="s">
        <v>31</v>
      </c>
      <c r="F35" s="30">
        <v>1</v>
      </c>
      <c r="G35" s="30">
        <v>2</v>
      </c>
      <c r="H35" s="30">
        <v>30</v>
      </c>
      <c r="I35" s="41"/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/>
      <c r="AJ35" s="21">
        <v>0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30">
        <v>1</v>
      </c>
      <c r="BG35" s="30">
        <v>1</v>
      </c>
      <c r="BH35" s="30">
        <v>1</v>
      </c>
      <c r="BI35" s="30">
        <v>1</v>
      </c>
      <c r="BJ35" s="30">
        <v>1</v>
      </c>
      <c r="BK35" s="30">
        <v>1</v>
      </c>
      <c r="BL35" s="30">
        <v>1</v>
      </c>
      <c r="BM35" s="30">
        <v>1</v>
      </c>
      <c r="BN35" s="30">
        <v>1</v>
      </c>
      <c r="BO35" s="30">
        <v>1</v>
      </c>
      <c r="BP35" s="30">
        <v>1</v>
      </c>
      <c r="BQ35" s="30">
        <v>1</v>
      </c>
      <c r="BR35" s="30">
        <v>1</v>
      </c>
      <c r="BS35" s="30">
        <v>1</v>
      </c>
      <c r="BT35" s="30">
        <v>1</v>
      </c>
      <c r="BU35" s="30">
        <v>1</v>
      </c>
      <c r="BV35" s="30">
        <v>1</v>
      </c>
      <c r="BW35" s="30">
        <v>1</v>
      </c>
      <c r="BX35" s="30">
        <v>1</v>
      </c>
      <c r="BY35" s="30">
        <v>1</v>
      </c>
      <c r="BZ35" s="30">
        <v>1</v>
      </c>
      <c r="CA35" s="30">
        <v>1</v>
      </c>
      <c r="CB35" s="30">
        <v>1</v>
      </c>
      <c r="CC35" s="30">
        <v>1</v>
      </c>
      <c r="CD35" s="30">
        <v>1</v>
      </c>
      <c r="CE35" s="30">
        <v>1</v>
      </c>
      <c r="CF35" s="30">
        <v>1</v>
      </c>
      <c r="CG35" s="30">
        <v>1</v>
      </c>
      <c r="CH35" s="30">
        <v>1</v>
      </c>
      <c r="CI35" s="30">
        <v>1</v>
      </c>
      <c r="CJ35" s="30">
        <v>1</v>
      </c>
      <c r="CK35" s="30">
        <v>1</v>
      </c>
      <c r="CL35" s="30">
        <v>1</v>
      </c>
      <c r="CM35" s="30">
        <v>1</v>
      </c>
      <c r="CN35" s="30">
        <v>1</v>
      </c>
      <c r="CO35" s="30">
        <v>1</v>
      </c>
      <c r="CP35" s="30">
        <v>1</v>
      </c>
      <c r="CQ35" s="30">
        <v>1</v>
      </c>
      <c r="CR35" s="30">
        <v>1</v>
      </c>
      <c r="CS35" s="30">
        <v>1</v>
      </c>
      <c r="CT35" s="30">
        <v>1</v>
      </c>
      <c r="CU35" s="30">
        <v>1</v>
      </c>
      <c r="CV35" s="30">
        <v>1</v>
      </c>
      <c r="CW35" s="30">
        <v>1</v>
      </c>
      <c r="CX35" s="30">
        <v>1</v>
      </c>
      <c r="CY35" s="30">
        <v>1</v>
      </c>
      <c r="CZ35" s="30">
        <v>1</v>
      </c>
      <c r="DA35" s="30">
        <v>1</v>
      </c>
    </row>
    <row r="36" spans="1:105" x14ac:dyDescent="0.3">
      <c r="A36" s="34" t="str">
        <f t="shared" si="2"/>
        <v>Sricity - 16KCDM 5</v>
      </c>
      <c r="B36" s="20" t="s">
        <v>81</v>
      </c>
      <c r="C36" s="20" t="s">
        <v>16</v>
      </c>
      <c r="D36" s="19" t="s">
        <v>23</v>
      </c>
      <c r="E36" s="18" t="s">
        <v>24</v>
      </c>
      <c r="F36" s="30">
        <v>1</v>
      </c>
      <c r="G36" s="30">
        <v>3</v>
      </c>
      <c r="H36" s="30">
        <v>30</v>
      </c>
      <c r="I36" s="41"/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  <c r="AI36" s="21"/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0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30">
        <v>1</v>
      </c>
      <c r="BG36" s="30">
        <v>1</v>
      </c>
      <c r="BH36" s="30">
        <v>1</v>
      </c>
      <c r="BI36" s="30">
        <v>1</v>
      </c>
      <c r="BJ36" s="30">
        <v>1</v>
      </c>
      <c r="BK36" s="30">
        <v>1</v>
      </c>
      <c r="BL36" s="30">
        <v>1</v>
      </c>
      <c r="BM36" s="30">
        <v>1</v>
      </c>
      <c r="BN36" s="30">
        <v>1</v>
      </c>
      <c r="BO36" s="30">
        <v>1</v>
      </c>
      <c r="BP36" s="30">
        <v>1</v>
      </c>
      <c r="BQ36" s="30">
        <v>1</v>
      </c>
      <c r="BR36" s="30">
        <v>1</v>
      </c>
      <c r="BS36" s="30">
        <v>1</v>
      </c>
      <c r="BT36" s="30">
        <v>1</v>
      </c>
      <c r="BU36" s="30">
        <v>1</v>
      </c>
      <c r="BV36" s="30">
        <v>1</v>
      </c>
      <c r="BW36" s="30">
        <v>1</v>
      </c>
      <c r="BX36" s="30">
        <v>1</v>
      </c>
      <c r="BY36" s="30">
        <v>1</v>
      </c>
      <c r="BZ36" s="30">
        <v>1</v>
      </c>
      <c r="CA36" s="30">
        <v>1</v>
      </c>
      <c r="CB36" s="30">
        <v>1</v>
      </c>
      <c r="CC36" s="30">
        <v>1</v>
      </c>
      <c r="CD36" s="30">
        <v>1</v>
      </c>
      <c r="CE36" s="30">
        <v>1</v>
      </c>
      <c r="CF36" s="30">
        <v>1</v>
      </c>
      <c r="CG36" s="30">
        <v>1</v>
      </c>
      <c r="CH36" s="30">
        <v>1</v>
      </c>
      <c r="CI36" s="30">
        <v>1</v>
      </c>
      <c r="CJ36" s="30">
        <v>1</v>
      </c>
      <c r="CK36" s="30">
        <v>1</v>
      </c>
      <c r="CL36" s="30">
        <v>1</v>
      </c>
      <c r="CM36" s="30">
        <v>1</v>
      </c>
      <c r="CN36" s="30">
        <v>1</v>
      </c>
      <c r="CO36" s="30">
        <v>1</v>
      </c>
      <c r="CP36" s="30">
        <v>1</v>
      </c>
      <c r="CQ36" s="30">
        <v>1</v>
      </c>
      <c r="CR36" s="30">
        <v>1</v>
      </c>
      <c r="CS36" s="30">
        <v>1</v>
      </c>
      <c r="CT36" s="30">
        <v>1</v>
      </c>
      <c r="CU36" s="30">
        <v>1</v>
      </c>
      <c r="CV36" s="30">
        <v>1</v>
      </c>
      <c r="CW36" s="30">
        <v>1</v>
      </c>
      <c r="CX36" s="30">
        <v>1</v>
      </c>
      <c r="CY36" s="30">
        <v>1</v>
      </c>
      <c r="CZ36" s="30">
        <v>1</v>
      </c>
      <c r="DA36" s="30">
        <v>1</v>
      </c>
    </row>
    <row r="37" spans="1:105" x14ac:dyDescent="0.3">
      <c r="A37" s="34" t="str">
        <f t="shared" si="2"/>
        <v>Baddi - E4CDM 50</v>
      </c>
      <c r="B37" s="27" t="s">
        <v>83</v>
      </c>
      <c r="C37" s="20" t="s">
        <v>7</v>
      </c>
      <c r="D37" s="19" t="s">
        <v>23</v>
      </c>
      <c r="E37" s="18" t="s">
        <v>32</v>
      </c>
      <c r="F37" s="30">
        <v>7</v>
      </c>
      <c r="G37" s="30">
        <v>3</v>
      </c>
      <c r="H37" s="30">
        <v>30</v>
      </c>
      <c r="I37" s="41"/>
      <c r="J37" s="21">
        <v>0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/>
      <c r="AJ37" s="21">
        <v>0</v>
      </c>
      <c r="AK37" s="21">
        <v>0</v>
      </c>
      <c r="AL37" s="21">
        <v>0</v>
      </c>
      <c r="AM37" s="21">
        <v>0</v>
      </c>
      <c r="AN37" s="21">
        <v>0</v>
      </c>
      <c r="AO37" s="21">
        <v>0</v>
      </c>
      <c r="AP37" s="21">
        <v>0</v>
      </c>
      <c r="AQ37" s="21">
        <v>0</v>
      </c>
      <c r="AR37" s="21">
        <v>0</v>
      </c>
      <c r="AS37" s="21">
        <v>0</v>
      </c>
      <c r="AT37" s="21">
        <v>0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</v>
      </c>
      <c r="BD37" s="21">
        <v>0</v>
      </c>
      <c r="BE37" s="21">
        <v>0</v>
      </c>
      <c r="BF37" s="30">
        <v>1</v>
      </c>
      <c r="BG37" s="30">
        <v>1</v>
      </c>
      <c r="BH37" s="30">
        <v>1</v>
      </c>
      <c r="BI37" s="30">
        <v>1</v>
      </c>
      <c r="BJ37" s="30">
        <v>1</v>
      </c>
      <c r="BK37" s="30">
        <v>1</v>
      </c>
      <c r="BL37" s="30">
        <v>1</v>
      </c>
      <c r="BM37" s="30">
        <v>1</v>
      </c>
      <c r="BN37" s="30">
        <v>1</v>
      </c>
      <c r="BO37" s="30">
        <v>1</v>
      </c>
      <c r="BP37" s="30">
        <v>1</v>
      </c>
      <c r="BQ37" s="30">
        <v>1</v>
      </c>
      <c r="BR37" s="30">
        <v>1</v>
      </c>
      <c r="BS37" s="30">
        <v>1</v>
      </c>
      <c r="BT37" s="30">
        <v>1</v>
      </c>
      <c r="BU37" s="30">
        <v>1</v>
      </c>
      <c r="BV37" s="30">
        <v>1</v>
      </c>
      <c r="BW37" s="30">
        <v>1</v>
      </c>
      <c r="BX37" s="30">
        <v>1</v>
      </c>
      <c r="BY37" s="30">
        <v>1</v>
      </c>
      <c r="BZ37" s="30">
        <v>1</v>
      </c>
      <c r="CA37" s="30">
        <v>1</v>
      </c>
      <c r="CB37" s="30">
        <v>1</v>
      </c>
      <c r="CC37" s="30">
        <v>1</v>
      </c>
      <c r="CD37" s="30">
        <v>1</v>
      </c>
      <c r="CE37" s="30">
        <v>1</v>
      </c>
      <c r="CF37" s="30">
        <v>1</v>
      </c>
      <c r="CG37" s="30">
        <v>1</v>
      </c>
      <c r="CH37" s="30">
        <v>1</v>
      </c>
      <c r="CI37" s="30">
        <v>1</v>
      </c>
      <c r="CJ37" s="30">
        <v>1</v>
      </c>
      <c r="CK37" s="30">
        <v>1</v>
      </c>
      <c r="CL37" s="30">
        <v>1</v>
      </c>
      <c r="CM37" s="30">
        <v>1</v>
      </c>
      <c r="CN37" s="30">
        <v>1</v>
      </c>
      <c r="CO37" s="30">
        <v>1</v>
      </c>
      <c r="CP37" s="30">
        <v>1</v>
      </c>
      <c r="CQ37" s="30">
        <v>1</v>
      </c>
      <c r="CR37" s="30">
        <v>1</v>
      </c>
      <c r="CS37" s="30">
        <v>1</v>
      </c>
      <c r="CT37" s="30">
        <v>1</v>
      </c>
      <c r="CU37" s="30">
        <v>1</v>
      </c>
      <c r="CV37" s="30">
        <v>1</v>
      </c>
      <c r="CW37" s="30">
        <v>1</v>
      </c>
      <c r="CX37" s="30">
        <v>1</v>
      </c>
      <c r="CY37" s="30">
        <v>1</v>
      </c>
      <c r="CZ37" s="30">
        <v>1</v>
      </c>
      <c r="DA37" s="30">
        <v>1</v>
      </c>
    </row>
    <row r="38" spans="1:105" x14ac:dyDescent="0.3">
      <c r="A38" s="34" t="str">
        <f t="shared" si="2"/>
        <v>Sricity - ULCDM 50</v>
      </c>
      <c r="B38" s="20" t="s">
        <v>81</v>
      </c>
      <c r="C38" s="20" t="s">
        <v>18</v>
      </c>
      <c r="D38" s="19" t="s">
        <v>23</v>
      </c>
      <c r="E38" s="18" t="s">
        <v>32</v>
      </c>
      <c r="F38" s="30">
        <v>9</v>
      </c>
      <c r="G38" s="30">
        <v>1.5</v>
      </c>
      <c r="H38" s="30">
        <v>30</v>
      </c>
      <c r="I38" s="41"/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/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0</v>
      </c>
      <c r="AR38" s="21">
        <v>0</v>
      </c>
      <c r="AS38" s="21">
        <v>0</v>
      </c>
      <c r="AT38" s="21">
        <v>0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</v>
      </c>
      <c r="BB38" s="21">
        <v>0</v>
      </c>
      <c r="BC38" s="21">
        <v>0</v>
      </c>
      <c r="BD38" s="21">
        <v>0</v>
      </c>
      <c r="BE38" s="21">
        <v>0</v>
      </c>
      <c r="BF38" s="30">
        <v>1</v>
      </c>
      <c r="BG38" s="30">
        <v>1</v>
      </c>
      <c r="BH38" s="30">
        <v>1</v>
      </c>
      <c r="BI38" s="30">
        <v>1</v>
      </c>
      <c r="BJ38" s="30">
        <v>1</v>
      </c>
      <c r="BK38" s="30">
        <v>1</v>
      </c>
      <c r="BL38" s="30">
        <v>1</v>
      </c>
      <c r="BM38" s="30">
        <v>1</v>
      </c>
      <c r="BN38" s="30">
        <v>1</v>
      </c>
      <c r="BO38" s="30">
        <v>1</v>
      </c>
      <c r="BP38" s="30">
        <v>1</v>
      </c>
      <c r="BQ38" s="30">
        <v>1</v>
      </c>
      <c r="BR38" s="30">
        <v>1</v>
      </c>
      <c r="BS38" s="30">
        <v>1</v>
      </c>
      <c r="BT38" s="30">
        <v>1</v>
      </c>
      <c r="BU38" s="30">
        <v>1</v>
      </c>
      <c r="BV38" s="30">
        <v>1</v>
      </c>
      <c r="BW38" s="30">
        <v>1</v>
      </c>
      <c r="BX38" s="30">
        <v>1</v>
      </c>
      <c r="BY38" s="30">
        <v>1</v>
      </c>
      <c r="BZ38" s="30">
        <v>1</v>
      </c>
      <c r="CA38" s="30">
        <v>1</v>
      </c>
      <c r="CB38" s="30">
        <v>1</v>
      </c>
      <c r="CC38" s="30">
        <v>1</v>
      </c>
      <c r="CD38" s="30">
        <v>1</v>
      </c>
      <c r="CE38" s="30">
        <v>1</v>
      </c>
      <c r="CF38" s="30">
        <v>1</v>
      </c>
      <c r="CG38" s="30">
        <v>1</v>
      </c>
      <c r="CH38" s="30">
        <v>1</v>
      </c>
      <c r="CI38" s="30">
        <v>1</v>
      </c>
      <c r="CJ38" s="30">
        <v>1</v>
      </c>
      <c r="CK38" s="30">
        <v>1</v>
      </c>
      <c r="CL38" s="30">
        <v>1</v>
      </c>
      <c r="CM38" s="30">
        <v>1</v>
      </c>
      <c r="CN38" s="30">
        <v>1</v>
      </c>
      <c r="CO38" s="30">
        <v>1</v>
      </c>
      <c r="CP38" s="30">
        <v>1</v>
      </c>
      <c r="CQ38" s="30">
        <v>1</v>
      </c>
      <c r="CR38" s="30">
        <v>1</v>
      </c>
      <c r="CS38" s="30">
        <v>1</v>
      </c>
      <c r="CT38" s="30">
        <v>1</v>
      </c>
      <c r="CU38" s="30">
        <v>1</v>
      </c>
      <c r="CV38" s="30">
        <v>1</v>
      </c>
      <c r="CW38" s="30">
        <v>1</v>
      </c>
      <c r="CX38" s="30">
        <v>1</v>
      </c>
      <c r="CY38" s="30">
        <v>1</v>
      </c>
      <c r="CZ38" s="30">
        <v>1</v>
      </c>
      <c r="DA38" s="30">
        <v>1</v>
      </c>
    </row>
    <row r="39" spans="1:105" x14ac:dyDescent="0.3">
      <c r="A39" s="34" t="str">
        <f t="shared" si="2"/>
        <v>Sricity - NMLCDM 50</v>
      </c>
      <c r="B39" s="20" t="s">
        <v>81</v>
      </c>
      <c r="C39" s="20" t="s">
        <v>17</v>
      </c>
      <c r="D39" s="19" t="s">
        <v>23</v>
      </c>
      <c r="E39" s="18" t="s">
        <v>32</v>
      </c>
      <c r="F39" s="30">
        <v>3</v>
      </c>
      <c r="G39" s="30">
        <v>1</v>
      </c>
      <c r="H39" s="30">
        <v>30</v>
      </c>
      <c r="I39" s="41"/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/>
      <c r="AJ39" s="21">
        <v>0</v>
      </c>
      <c r="AK39" s="21">
        <v>0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0</v>
      </c>
      <c r="AR39" s="21">
        <v>0</v>
      </c>
      <c r="AS39" s="21">
        <v>0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30">
        <v>1</v>
      </c>
      <c r="BG39" s="30">
        <v>1</v>
      </c>
      <c r="BH39" s="30">
        <v>1</v>
      </c>
      <c r="BI39" s="30">
        <v>1</v>
      </c>
      <c r="BJ39" s="30">
        <v>1</v>
      </c>
      <c r="BK39" s="30">
        <v>1</v>
      </c>
      <c r="BL39" s="30">
        <v>1</v>
      </c>
      <c r="BM39" s="30">
        <v>1</v>
      </c>
      <c r="BN39" s="30">
        <v>1</v>
      </c>
      <c r="BO39" s="30">
        <v>1</v>
      </c>
      <c r="BP39" s="30">
        <v>1</v>
      </c>
      <c r="BQ39" s="30">
        <v>1</v>
      </c>
      <c r="BR39" s="30">
        <v>1</v>
      </c>
      <c r="BS39" s="30">
        <v>1</v>
      </c>
      <c r="BT39" s="30">
        <v>1</v>
      </c>
      <c r="BU39" s="30">
        <v>1</v>
      </c>
      <c r="BV39" s="30">
        <v>1</v>
      </c>
      <c r="BW39" s="30">
        <v>1</v>
      </c>
      <c r="BX39" s="30">
        <v>1</v>
      </c>
      <c r="BY39" s="30">
        <v>1</v>
      </c>
      <c r="BZ39" s="30">
        <v>1</v>
      </c>
      <c r="CA39" s="30">
        <v>1</v>
      </c>
      <c r="CB39" s="30">
        <v>1</v>
      </c>
      <c r="CC39" s="30">
        <v>1</v>
      </c>
      <c r="CD39" s="30">
        <v>1</v>
      </c>
      <c r="CE39" s="30">
        <v>1</v>
      </c>
      <c r="CF39" s="30">
        <v>1</v>
      </c>
      <c r="CG39" s="30">
        <v>1</v>
      </c>
      <c r="CH39" s="30">
        <v>1</v>
      </c>
      <c r="CI39" s="30">
        <v>1</v>
      </c>
      <c r="CJ39" s="30">
        <v>1</v>
      </c>
      <c r="CK39" s="30">
        <v>1</v>
      </c>
      <c r="CL39" s="30">
        <v>1</v>
      </c>
      <c r="CM39" s="30">
        <v>1</v>
      </c>
      <c r="CN39" s="30">
        <v>1</v>
      </c>
      <c r="CO39" s="30">
        <v>1</v>
      </c>
      <c r="CP39" s="30">
        <v>1</v>
      </c>
      <c r="CQ39" s="30">
        <v>1</v>
      </c>
      <c r="CR39" s="30">
        <v>1</v>
      </c>
      <c r="CS39" s="30">
        <v>1</v>
      </c>
      <c r="CT39" s="30">
        <v>1</v>
      </c>
      <c r="CU39" s="30">
        <v>1</v>
      </c>
      <c r="CV39" s="30">
        <v>1</v>
      </c>
      <c r="CW39" s="30">
        <v>1</v>
      </c>
      <c r="CX39" s="30">
        <v>1</v>
      </c>
      <c r="CY39" s="30">
        <v>1</v>
      </c>
      <c r="CZ39" s="30">
        <v>1</v>
      </c>
      <c r="DA39" s="30">
        <v>1</v>
      </c>
    </row>
    <row r="40" spans="1:105" x14ac:dyDescent="0.3">
      <c r="A40" s="34" t="str">
        <f t="shared" si="2"/>
        <v>Baddi - E4CDM Crackle</v>
      </c>
      <c r="B40" s="27" t="s">
        <v>83</v>
      </c>
      <c r="C40" s="20" t="s">
        <v>7</v>
      </c>
      <c r="D40" s="19" t="s">
        <v>80</v>
      </c>
      <c r="E40" s="18" t="s">
        <v>0</v>
      </c>
      <c r="F40" s="30">
        <v>10</v>
      </c>
      <c r="G40" s="30">
        <v>3</v>
      </c>
      <c r="H40" s="30">
        <v>30</v>
      </c>
      <c r="I40" s="41"/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/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0</v>
      </c>
      <c r="AP40" s="21">
        <v>0</v>
      </c>
      <c r="AQ40" s="21">
        <v>0</v>
      </c>
      <c r="AR40" s="21">
        <v>0</v>
      </c>
      <c r="AS40" s="21">
        <v>0</v>
      </c>
      <c r="AT40" s="21">
        <v>0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0</v>
      </c>
      <c r="BA40" s="21">
        <v>0</v>
      </c>
      <c r="BB40" s="21">
        <v>0</v>
      </c>
      <c r="BC40" s="21">
        <v>0</v>
      </c>
      <c r="BD40" s="21">
        <v>0</v>
      </c>
      <c r="BE40" s="21">
        <v>0</v>
      </c>
      <c r="BF40" s="30">
        <v>1</v>
      </c>
      <c r="BG40" s="30">
        <v>1</v>
      </c>
      <c r="BH40" s="30">
        <v>1</v>
      </c>
      <c r="BI40" s="30">
        <v>1</v>
      </c>
      <c r="BJ40" s="30">
        <v>1</v>
      </c>
      <c r="BK40" s="30">
        <v>1</v>
      </c>
      <c r="BL40" s="30">
        <v>1</v>
      </c>
      <c r="BM40" s="30">
        <v>1</v>
      </c>
      <c r="BN40" s="30">
        <v>1</v>
      </c>
      <c r="BO40" s="30">
        <v>1</v>
      </c>
      <c r="BP40" s="30">
        <v>1</v>
      </c>
      <c r="BQ40" s="30">
        <v>1</v>
      </c>
      <c r="BR40" s="30">
        <v>1</v>
      </c>
      <c r="BS40" s="30">
        <v>1</v>
      </c>
      <c r="BT40" s="30">
        <v>1</v>
      </c>
      <c r="BU40" s="30">
        <v>1</v>
      </c>
      <c r="BV40" s="30">
        <v>1</v>
      </c>
      <c r="BW40" s="30">
        <v>1</v>
      </c>
      <c r="BX40" s="30">
        <v>1</v>
      </c>
      <c r="BY40" s="30">
        <v>1</v>
      </c>
      <c r="BZ40" s="30">
        <v>1</v>
      </c>
      <c r="CA40" s="30">
        <v>1</v>
      </c>
      <c r="CB40" s="30">
        <v>1</v>
      </c>
      <c r="CC40" s="30">
        <v>1</v>
      </c>
      <c r="CD40" s="30">
        <v>1</v>
      </c>
      <c r="CE40" s="30">
        <v>1</v>
      </c>
      <c r="CF40" s="30">
        <v>1</v>
      </c>
      <c r="CG40" s="30">
        <v>1</v>
      </c>
      <c r="CH40" s="30">
        <v>1</v>
      </c>
      <c r="CI40" s="30">
        <v>1</v>
      </c>
      <c r="CJ40" s="30">
        <v>1</v>
      </c>
      <c r="CK40" s="30">
        <v>1</v>
      </c>
      <c r="CL40" s="30">
        <v>1</v>
      </c>
      <c r="CM40" s="30">
        <v>1</v>
      </c>
      <c r="CN40" s="30">
        <v>1</v>
      </c>
      <c r="CO40" s="30">
        <v>1</v>
      </c>
      <c r="CP40" s="30">
        <v>1</v>
      </c>
      <c r="CQ40" s="30">
        <v>1</v>
      </c>
      <c r="CR40" s="30">
        <v>1</v>
      </c>
      <c r="CS40" s="30">
        <v>1</v>
      </c>
      <c r="CT40" s="30">
        <v>1</v>
      </c>
      <c r="CU40" s="30">
        <v>1</v>
      </c>
      <c r="CV40" s="30">
        <v>1</v>
      </c>
      <c r="CW40" s="30">
        <v>1</v>
      </c>
      <c r="CX40" s="30">
        <v>1</v>
      </c>
      <c r="CY40" s="30">
        <v>1</v>
      </c>
      <c r="CZ40" s="30">
        <v>1</v>
      </c>
      <c r="DA40" s="30">
        <v>1</v>
      </c>
    </row>
    <row r="41" spans="1:105" x14ac:dyDescent="0.3">
      <c r="A41" s="34" t="str">
        <f t="shared" si="2"/>
        <v>Sricity - LOFCDM Crackle</v>
      </c>
      <c r="B41" s="20" t="s">
        <v>81</v>
      </c>
      <c r="C41" s="20" t="s">
        <v>19</v>
      </c>
      <c r="D41" s="19" t="s">
        <v>80</v>
      </c>
      <c r="E41" s="18" t="s">
        <v>0</v>
      </c>
      <c r="F41" s="30">
        <v>8</v>
      </c>
      <c r="G41" s="30">
        <v>3</v>
      </c>
      <c r="H41" s="30">
        <v>30</v>
      </c>
      <c r="I41" s="41"/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/>
      <c r="AJ41" s="21">
        <v>0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0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30">
        <v>1</v>
      </c>
      <c r="BG41" s="30">
        <v>1</v>
      </c>
      <c r="BH41" s="30">
        <v>1</v>
      </c>
      <c r="BI41" s="30">
        <v>1</v>
      </c>
      <c r="BJ41" s="30">
        <v>1</v>
      </c>
      <c r="BK41" s="30">
        <v>1</v>
      </c>
      <c r="BL41" s="30">
        <v>1</v>
      </c>
      <c r="BM41" s="30">
        <v>1</v>
      </c>
      <c r="BN41" s="30">
        <v>1</v>
      </c>
      <c r="BO41" s="30">
        <v>1</v>
      </c>
      <c r="BP41" s="30">
        <v>1</v>
      </c>
      <c r="BQ41" s="30">
        <v>1</v>
      </c>
      <c r="BR41" s="30">
        <v>1</v>
      </c>
      <c r="BS41" s="30">
        <v>1</v>
      </c>
      <c r="BT41" s="30">
        <v>1</v>
      </c>
      <c r="BU41" s="30">
        <v>1</v>
      </c>
      <c r="BV41" s="30">
        <v>1</v>
      </c>
      <c r="BW41" s="30">
        <v>1</v>
      </c>
      <c r="BX41" s="30">
        <v>1</v>
      </c>
      <c r="BY41" s="30">
        <v>1</v>
      </c>
      <c r="BZ41" s="30">
        <v>1</v>
      </c>
      <c r="CA41" s="30">
        <v>1</v>
      </c>
      <c r="CB41" s="30">
        <v>1</v>
      </c>
      <c r="CC41" s="30">
        <v>1</v>
      </c>
      <c r="CD41" s="30">
        <v>1</v>
      </c>
      <c r="CE41" s="30">
        <v>1</v>
      </c>
      <c r="CF41" s="30">
        <v>1</v>
      </c>
      <c r="CG41" s="30">
        <v>1</v>
      </c>
      <c r="CH41" s="30">
        <v>1</v>
      </c>
      <c r="CI41" s="30">
        <v>1</v>
      </c>
      <c r="CJ41" s="30">
        <v>1</v>
      </c>
      <c r="CK41" s="30">
        <v>1</v>
      </c>
      <c r="CL41" s="30">
        <v>1</v>
      </c>
      <c r="CM41" s="30">
        <v>1</v>
      </c>
      <c r="CN41" s="30">
        <v>1</v>
      </c>
      <c r="CO41" s="30">
        <v>1</v>
      </c>
      <c r="CP41" s="30">
        <v>1</v>
      </c>
      <c r="CQ41" s="30">
        <v>1</v>
      </c>
      <c r="CR41" s="30">
        <v>1</v>
      </c>
      <c r="CS41" s="30">
        <v>1</v>
      </c>
      <c r="CT41" s="30">
        <v>1</v>
      </c>
      <c r="CU41" s="30">
        <v>1</v>
      </c>
      <c r="CV41" s="30">
        <v>1</v>
      </c>
      <c r="CW41" s="30">
        <v>1</v>
      </c>
      <c r="CX41" s="30">
        <v>1</v>
      </c>
      <c r="CY41" s="30">
        <v>1</v>
      </c>
      <c r="CZ41" s="30">
        <v>1</v>
      </c>
      <c r="DA41" s="30">
        <v>1</v>
      </c>
    </row>
    <row r="42" spans="1:105" x14ac:dyDescent="0.3">
      <c r="A42" s="34" t="str">
        <f t="shared" si="2"/>
        <v>Sricity - LOFCDM Crackle L</v>
      </c>
      <c r="B42" s="20" t="s">
        <v>81</v>
      </c>
      <c r="C42" s="20" t="s">
        <v>19</v>
      </c>
      <c r="D42" s="19" t="s">
        <v>80</v>
      </c>
      <c r="E42" s="18" t="s">
        <v>3</v>
      </c>
      <c r="F42" s="30">
        <v>9</v>
      </c>
      <c r="G42" s="30">
        <v>3</v>
      </c>
      <c r="H42" s="30">
        <v>30</v>
      </c>
      <c r="I42" s="41"/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/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30">
        <v>1</v>
      </c>
      <c r="BG42" s="30">
        <v>1</v>
      </c>
      <c r="BH42" s="30">
        <v>1</v>
      </c>
      <c r="BI42" s="30">
        <v>1</v>
      </c>
      <c r="BJ42" s="30">
        <v>1</v>
      </c>
      <c r="BK42" s="30">
        <v>1</v>
      </c>
      <c r="BL42" s="30">
        <v>1</v>
      </c>
      <c r="BM42" s="30">
        <v>1</v>
      </c>
      <c r="BN42" s="30">
        <v>1</v>
      </c>
      <c r="BO42" s="30">
        <v>1</v>
      </c>
      <c r="BP42" s="30">
        <v>1</v>
      </c>
      <c r="BQ42" s="30">
        <v>1</v>
      </c>
      <c r="BR42" s="30">
        <v>1</v>
      </c>
      <c r="BS42" s="30">
        <v>1</v>
      </c>
      <c r="BT42" s="30">
        <v>1</v>
      </c>
      <c r="BU42" s="30">
        <v>1</v>
      </c>
      <c r="BV42" s="30">
        <v>1</v>
      </c>
      <c r="BW42" s="30">
        <v>1</v>
      </c>
      <c r="BX42" s="30">
        <v>1</v>
      </c>
      <c r="BY42" s="30">
        <v>1</v>
      </c>
      <c r="BZ42" s="30">
        <v>1</v>
      </c>
      <c r="CA42" s="30">
        <v>1</v>
      </c>
      <c r="CB42" s="30">
        <v>1</v>
      </c>
      <c r="CC42" s="30">
        <v>1</v>
      </c>
      <c r="CD42" s="30">
        <v>1</v>
      </c>
      <c r="CE42" s="30">
        <v>1</v>
      </c>
      <c r="CF42" s="30">
        <v>1</v>
      </c>
      <c r="CG42" s="30">
        <v>1</v>
      </c>
      <c r="CH42" s="30">
        <v>1</v>
      </c>
      <c r="CI42" s="30">
        <v>1</v>
      </c>
      <c r="CJ42" s="30">
        <v>1</v>
      </c>
      <c r="CK42" s="30">
        <v>1</v>
      </c>
      <c r="CL42" s="30">
        <v>1</v>
      </c>
      <c r="CM42" s="30">
        <v>1</v>
      </c>
      <c r="CN42" s="30">
        <v>1</v>
      </c>
      <c r="CO42" s="30">
        <v>1</v>
      </c>
      <c r="CP42" s="30">
        <v>1</v>
      </c>
      <c r="CQ42" s="30">
        <v>1</v>
      </c>
      <c r="CR42" s="30">
        <v>1</v>
      </c>
      <c r="CS42" s="30">
        <v>1</v>
      </c>
      <c r="CT42" s="30">
        <v>1</v>
      </c>
      <c r="CU42" s="30">
        <v>1</v>
      </c>
      <c r="CV42" s="30">
        <v>1</v>
      </c>
      <c r="CW42" s="30">
        <v>1</v>
      </c>
      <c r="CX42" s="30">
        <v>1</v>
      </c>
      <c r="CY42" s="30">
        <v>1</v>
      </c>
      <c r="CZ42" s="30">
        <v>1</v>
      </c>
      <c r="DA42" s="30">
        <v>1</v>
      </c>
    </row>
    <row r="43" spans="1:105" x14ac:dyDescent="0.3">
      <c r="A43" s="34" t="str">
        <f t="shared" si="2"/>
        <v>Sricity - LOFCDM Crackle 10</v>
      </c>
      <c r="B43" s="20" t="s">
        <v>81</v>
      </c>
      <c r="C43" s="20" t="s">
        <v>19</v>
      </c>
      <c r="D43" s="19" t="s">
        <v>80</v>
      </c>
      <c r="E43" s="18" t="s">
        <v>246</v>
      </c>
      <c r="F43" s="30">
        <v>7</v>
      </c>
      <c r="G43" s="30">
        <v>3</v>
      </c>
      <c r="H43" s="30"/>
      <c r="I43" s="41"/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30">
        <v>1</v>
      </c>
      <c r="BG43" s="30">
        <v>1</v>
      </c>
      <c r="BH43" s="30">
        <v>1</v>
      </c>
      <c r="BI43" s="30">
        <v>1</v>
      </c>
      <c r="BJ43" s="30">
        <v>1</v>
      </c>
      <c r="BK43" s="30">
        <v>1</v>
      </c>
      <c r="BL43" s="30">
        <v>1</v>
      </c>
      <c r="BM43" s="30">
        <v>1</v>
      </c>
      <c r="BN43" s="30">
        <v>1</v>
      </c>
      <c r="BO43" s="30">
        <v>1</v>
      </c>
      <c r="BP43" s="30">
        <v>1</v>
      </c>
      <c r="BQ43" s="30">
        <v>1</v>
      </c>
      <c r="BR43" s="30">
        <v>1</v>
      </c>
      <c r="BS43" s="30">
        <v>1</v>
      </c>
      <c r="BT43" s="30">
        <v>1</v>
      </c>
      <c r="BU43" s="30">
        <v>1</v>
      </c>
      <c r="BV43" s="30">
        <v>1</v>
      </c>
      <c r="BW43" s="30">
        <v>1</v>
      </c>
      <c r="BX43" s="30">
        <v>1</v>
      </c>
      <c r="BY43" s="30">
        <v>1</v>
      </c>
      <c r="BZ43" s="30">
        <v>1</v>
      </c>
      <c r="CA43" s="30">
        <v>1</v>
      </c>
      <c r="CB43" s="30">
        <v>1</v>
      </c>
      <c r="CC43" s="30">
        <v>1</v>
      </c>
      <c r="CD43" s="30">
        <v>1</v>
      </c>
      <c r="CE43" s="30">
        <v>1</v>
      </c>
      <c r="CF43" s="30">
        <v>1</v>
      </c>
      <c r="CG43" s="30">
        <v>1</v>
      </c>
      <c r="CH43" s="30">
        <v>1</v>
      </c>
      <c r="CI43" s="30">
        <v>1</v>
      </c>
      <c r="CJ43" s="30">
        <v>1</v>
      </c>
      <c r="CK43" s="30">
        <v>1</v>
      </c>
      <c r="CL43" s="30">
        <v>1</v>
      </c>
      <c r="CM43" s="30">
        <v>1</v>
      </c>
      <c r="CN43" s="30">
        <v>1</v>
      </c>
      <c r="CO43" s="30">
        <v>1</v>
      </c>
      <c r="CP43" s="30">
        <v>1</v>
      </c>
      <c r="CQ43" s="30">
        <v>1</v>
      </c>
      <c r="CR43" s="30">
        <v>1</v>
      </c>
      <c r="CS43" s="30">
        <v>1</v>
      </c>
      <c r="CT43" s="30">
        <v>1</v>
      </c>
      <c r="CU43" s="30">
        <v>1</v>
      </c>
      <c r="CV43" s="30">
        <v>1</v>
      </c>
      <c r="CW43" s="30">
        <v>1</v>
      </c>
      <c r="CX43" s="30">
        <v>1</v>
      </c>
      <c r="CY43" s="30">
        <v>1</v>
      </c>
      <c r="CZ43" s="30">
        <v>1</v>
      </c>
      <c r="DA43" s="30">
        <v>1</v>
      </c>
    </row>
    <row r="44" spans="1:105" x14ac:dyDescent="0.3">
      <c r="A44" s="34" t="str">
        <f t="shared" si="2"/>
        <v>Makson - SCDM EDGE Assorted Pack</v>
      </c>
      <c r="B44" s="20" t="s">
        <v>216</v>
      </c>
      <c r="C44" s="20" t="s">
        <v>5</v>
      </c>
      <c r="D44" s="19" t="s">
        <v>222</v>
      </c>
      <c r="E44" s="18" t="s">
        <v>223</v>
      </c>
      <c r="F44" s="30">
        <v>1</v>
      </c>
      <c r="G44" s="30">
        <v>2</v>
      </c>
      <c r="H44" s="30">
        <v>30</v>
      </c>
      <c r="I44" s="41"/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/>
      <c r="R44" s="35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/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0</v>
      </c>
      <c r="AW44" s="21">
        <v>0</v>
      </c>
      <c r="AX44" s="21">
        <v>0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30">
        <v>1</v>
      </c>
      <c r="BG44" s="30">
        <v>1</v>
      </c>
      <c r="BH44" s="30">
        <v>1</v>
      </c>
      <c r="BI44" s="30">
        <v>1</v>
      </c>
      <c r="BJ44" s="30">
        <v>1</v>
      </c>
      <c r="BK44" s="30">
        <v>1</v>
      </c>
      <c r="BL44" s="30">
        <v>1</v>
      </c>
      <c r="BM44" s="30">
        <v>1</v>
      </c>
      <c r="BN44" s="30">
        <v>1</v>
      </c>
      <c r="BO44" s="30">
        <v>1</v>
      </c>
      <c r="BP44" s="30">
        <v>1</v>
      </c>
      <c r="BQ44" s="30">
        <v>1</v>
      </c>
      <c r="BR44" s="30">
        <v>1</v>
      </c>
      <c r="BS44" s="30">
        <v>1</v>
      </c>
      <c r="BT44" s="30">
        <v>1</v>
      </c>
      <c r="BU44" s="30">
        <v>1</v>
      </c>
      <c r="BV44" s="30">
        <v>1</v>
      </c>
      <c r="BW44" s="30">
        <v>1</v>
      </c>
      <c r="BX44" s="30">
        <v>1</v>
      </c>
      <c r="BY44" s="30">
        <v>1</v>
      </c>
      <c r="BZ44" s="30">
        <v>1</v>
      </c>
      <c r="CA44" s="30">
        <v>1</v>
      </c>
      <c r="CB44" s="30">
        <v>1</v>
      </c>
      <c r="CC44" s="30">
        <v>1</v>
      </c>
      <c r="CD44" s="30">
        <v>1</v>
      </c>
      <c r="CE44" s="30">
        <v>1</v>
      </c>
      <c r="CF44" s="30">
        <v>1</v>
      </c>
      <c r="CG44" s="30">
        <v>1</v>
      </c>
      <c r="CH44" s="30">
        <v>1</v>
      </c>
      <c r="CI44" s="30">
        <v>1</v>
      </c>
      <c r="CJ44" s="30">
        <v>1</v>
      </c>
      <c r="CK44" s="30">
        <v>1</v>
      </c>
      <c r="CL44" s="30">
        <v>1</v>
      </c>
      <c r="CM44" s="30">
        <v>1</v>
      </c>
      <c r="CN44" s="30">
        <v>1</v>
      </c>
      <c r="CO44" s="30">
        <v>1</v>
      </c>
      <c r="CP44" s="30">
        <v>1</v>
      </c>
      <c r="CQ44" s="30">
        <v>1</v>
      </c>
      <c r="CR44" s="30">
        <v>1</v>
      </c>
      <c r="CS44" s="30">
        <v>1</v>
      </c>
      <c r="CT44" s="30">
        <v>1</v>
      </c>
      <c r="CU44" s="30">
        <v>1</v>
      </c>
      <c r="CV44" s="30">
        <v>1</v>
      </c>
      <c r="CW44" s="30">
        <v>1</v>
      </c>
      <c r="CX44" s="30">
        <v>1</v>
      </c>
      <c r="CY44" s="30">
        <v>1</v>
      </c>
      <c r="CZ44" s="30">
        <v>1</v>
      </c>
      <c r="DA44" s="30">
        <v>1</v>
      </c>
    </row>
    <row r="45" spans="1:105" x14ac:dyDescent="0.3">
      <c r="A45" s="34" t="str">
        <f t="shared" si="2"/>
        <v>Sricity - LOFCDM F&amp;N Large</v>
      </c>
      <c r="B45" s="20" t="s">
        <v>81</v>
      </c>
      <c r="C45" s="20" t="s">
        <v>19</v>
      </c>
      <c r="D45" s="19" t="s">
        <v>80</v>
      </c>
      <c r="E45" s="18" t="s">
        <v>12</v>
      </c>
      <c r="F45" s="30">
        <v>4</v>
      </c>
      <c r="G45" s="30">
        <v>4</v>
      </c>
      <c r="H45" s="30">
        <v>30</v>
      </c>
      <c r="I45" s="41"/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/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0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30">
        <v>1</v>
      </c>
      <c r="BG45" s="30">
        <v>1</v>
      </c>
      <c r="BH45" s="30">
        <v>1</v>
      </c>
      <c r="BI45" s="30">
        <v>1</v>
      </c>
      <c r="BJ45" s="30">
        <v>1</v>
      </c>
      <c r="BK45" s="30">
        <v>1</v>
      </c>
      <c r="BL45" s="30">
        <v>1</v>
      </c>
      <c r="BM45" s="30">
        <v>1</v>
      </c>
      <c r="BN45" s="30">
        <v>1</v>
      </c>
      <c r="BO45" s="30">
        <v>1</v>
      </c>
      <c r="BP45" s="30">
        <v>1</v>
      </c>
      <c r="BQ45" s="30">
        <v>1</v>
      </c>
      <c r="BR45" s="30">
        <v>1</v>
      </c>
      <c r="BS45" s="30">
        <v>1</v>
      </c>
      <c r="BT45" s="30">
        <v>1</v>
      </c>
      <c r="BU45" s="30">
        <v>1</v>
      </c>
      <c r="BV45" s="30">
        <v>1</v>
      </c>
      <c r="BW45" s="30">
        <v>1</v>
      </c>
      <c r="BX45" s="30">
        <v>1</v>
      </c>
      <c r="BY45" s="30">
        <v>1</v>
      </c>
      <c r="BZ45" s="30">
        <v>1</v>
      </c>
      <c r="CA45" s="30">
        <v>1</v>
      </c>
      <c r="CB45" s="30">
        <v>1</v>
      </c>
      <c r="CC45" s="30">
        <v>1</v>
      </c>
      <c r="CD45" s="30">
        <v>1</v>
      </c>
      <c r="CE45" s="30">
        <v>1</v>
      </c>
      <c r="CF45" s="30">
        <v>1</v>
      </c>
      <c r="CG45" s="30">
        <v>1</v>
      </c>
      <c r="CH45" s="30">
        <v>1</v>
      </c>
      <c r="CI45" s="30">
        <v>1</v>
      </c>
      <c r="CJ45" s="30">
        <v>1</v>
      </c>
      <c r="CK45" s="30">
        <v>1</v>
      </c>
      <c r="CL45" s="30">
        <v>1</v>
      </c>
      <c r="CM45" s="30">
        <v>1</v>
      </c>
      <c r="CN45" s="30">
        <v>1</v>
      </c>
      <c r="CO45" s="30">
        <v>1</v>
      </c>
      <c r="CP45" s="30">
        <v>1</v>
      </c>
      <c r="CQ45" s="30">
        <v>1</v>
      </c>
      <c r="CR45" s="30">
        <v>1</v>
      </c>
      <c r="CS45" s="30">
        <v>1</v>
      </c>
      <c r="CT45" s="30">
        <v>1</v>
      </c>
      <c r="CU45" s="30">
        <v>1</v>
      </c>
      <c r="CV45" s="30">
        <v>1</v>
      </c>
      <c r="CW45" s="30">
        <v>1</v>
      </c>
      <c r="CX45" s="30">
        <v>1</v>
      </c>
      <c r="CY45" s="30">
        <v>1</v>
      </c>
      <c r="CZ45" s="30">
        <v>1</v>
      </c>
      <c r="DA45" s="30">
        <v>1</v>
      </c>
    </row>
    <row r="46" spans="1:105" x14ac:dyDescent="0.3">
      <c r="A46" s="34" t="str">
        <f t="shared" si="2"/>
        <v>Baddi - E4CDM F&amp;N Small</v>
      </c>
      <c r="B46" s="27" t="s">
        <v>83</v>
      </c>
      <c r="C46" s="20" t="s">
        <v>7</v>
      </c>
      <c r="D46" s="19" t="s">
        <v>80</v>
      </c>
      <c r="E46" s="18" t="s">
        <v>14</v>
      </c>
      <c r="F46" s="30">
        <v>9</v>
      </c>
      <c r="G46" s="30">
        <v>3</v>
      </c>
      <c r="H46" s="30">
        <v>30</v>
      </c>
      <c r="I46" s="41"/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>
        <v>1458.3333333333333</v>
      </c>
      <c r="AD46" s="21">
        <v>1458.3333333333333</v>
      </c>
      <c r="AE46" s="21">
        <v>1458.3333333333333</v>
      </c>
      <c r="AF46" s="21">
        <v>1458.3333333333333</v>
      </c>
      <c r="AG46" s="21">
        <v>1458.3333333333333</v>
      </c>
      <c r="AH46" s="21">
        <v>1458.3333333333333</v>
      </c>
      <c r="AI46" s="21"/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30">
        <v>1</v>
      </c>
      <c r="BG46" s="30">
        <v>1</v>
      </c>
      <c r="BH46" s="30">
        <v>1</v>
      </c>
      <c r="BI46" s="30">
        <v>1</v>
      </c>
      <c r="BJ46" s="30">
        <v>1</v>
      </c>
      <c r="BK46" s="30">
        <v>1</v>
      </c>
      <c r="BL46" s="30">
        <v>1</v>
      </c>
      <c r="BM46" s="30">
        <v>1</v>
      </c>
      <c r="BN46" s="30">
        <v>1</v>
      </c>
      <c r="BO46" s="30">
        <v>1</v>
      </c>
      <c r="BP46" s="30">
        <v>1</v>
      </c>
      <c r="BQ46" s="30">
        <v>1</v>
      </c>
      <c r="BR46" s="30">
        <v>1</v>
      </c>
      <c r="BS46" s="30">
        <v>1</v>
      </c>
      <c r="BT46" s="30">
        <v>1</v>
      </c>
      <c r="BU46" s="30">
        <v>1</v>
      </c>
      <c r="BV46" s="30">
        <v>1</v>
      </c>
      <c r="BW46" s="30">
        <v>1</v>
      </c>
      <c r="BX46" s="30">
        <v>1</v>
      </c>
      <c r="BY46" s="30">
        <v>1</v>
      </c>
      <c r="BZ46" s="30">
        <v>1</v>
      </c>
      <c r="CA46" s="30">
        <v>1</v>
      </c>
      <c r="CB46" s="30">
        <v>1</v>
      </c>
      <c r="CC46" s="30">
        <v>1</v>
      </c>
      <c r="CD46" s="30">
        <v>1</v>
      </c>
      <c r="CE46" s="30">
        <v>1</v>
      </c>
      <c r="CF46" s="30">
        <v>1</v>
      </c>
      <c r="CG46" s="30">
        <v>1</v>
      </c>
      <c r="CH46" s="30">
        <v>1</v>
      </c>
      <c r="CI46" s="30">
        <v>1</v>
      </c>
      <c r="CJ46" s="30">
        <v>1</v>
      </c>
      <c r="CK46" s="30">
        <v>1</v>
      </c>
      <c r="CL46" s="30">
        <v>1</v>
      </c>
      <c r="CM46" s="30">
        <v>1</v>
      </c>
      <c r="CN46" s="30">
        <v>1</v>
      </c>
      <c r="CO46" s="30">
        <v>1</v>
      </c>
      <c r="CP46" s="30">
        <v>1</v>
      </c>
      <c r="CQ46" s="30">
        <v>1</v>
      </c>
      <c r="CR46" s="30">
        <v>1</v>
      </c>
      <c r="CS46" s="30">
        <v>1</v>
      </c>
      <c r="CT46" s="30">
        <v>1</v>
      </c>
      <c r="CU46" s="30">
        <v>1</v>
      </c>
      <c r="CV46" s="30">
        <v>1</v>
      </c>
      <c r="CW46" s="30">
        <v>1</v>
      </c>
      <c r="CX46" s="30">
        <v>1</v>
      </c>
      <c r="CY46" s="30">
        <v>1</v>
      </c>
      <c r="CZ46" s="30">
        <v>1</v>
      </c>
      <c r="DA46" s="30">
        <v>1</v>
      </c>
    </row>
    <row r="47" spans="1:105" x14ac:dyDescent="0.3">
      <c r="A47" s="34" t="str">
        <f t="shared" si="2"/>
        <v>Sricity - LOFCDM F&amp;N Small</v>
      </c>
      <c r="B47" s="20" t="s">
        <v>81</v>
      </c>
      <c r="C47" s="20" t="s">
        <v>19</v>
      </c>
      <c r="D47" s="19" t="s">
        <v>80</v>
      </c>
      <c r="E47" s="18" t="s">
        <v>14</v>
      </c>
      <c r="F47" s="30">
        <v>3</v>
      </c>
      <c r="G47" s="30">
        <v>3.5</v>
      </c>
      <c r="H47" s="30">
        <v>30</v>
      </c>
      <c r="I47" s="41"/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>
        <v>1458.3333333333333</v>
      </c>
      <c r="AD47" s="21">
        <v>1458.3333333333333</v>
      </c>
      <c r="AE47" s="21">
        <v>1458.3333333333333</v>
      </c>
      <c r="AF47" s="21">
        <v>1458.3333333333333</v>
      </c>
      <c r="AG47" s="21">
        <v>1458.3333333333333</v>
      </c>
      <c r="AH47" s="21">
        <v>1458.3333333333333</v>
      </c>
      <c r="AI47" s="21"/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30">
        <v>1</v>
      </c>
      <c r="BG47" s="30">
        <v>1</v>
      </c>
      <c r="BH47" s="30">
        <v>1</v>
      </c>
      <c r="BI47" s="30">
        <v>1</v>
      </c>
      <c r="BJ47" s="30">
        <v>1</v>
      </c>
      <c r="BK47" s="30">
        <v>1</v>
      </c>
      <c r="BL47" s="30">
        <v>1</v>
      </c>
      <c r="BM47" s="30">
        <v>1</v>
      </c>
      <c r="BN47" s="30">
        <v>1</v>
      </c>
      <c r="BO47" s="30">
        <v>1</v>
      </c>
      <c r="BP47" s="30">
        <v>1</v>
      </c>
      <c r="BQ47" s="30">
        <v>1</v>
      </c>
      <c r="BR47" s="30">
        <v>1</v>
      </c>
      <c r="BS47" s="30">
        <v>1</v>
      </c>
      <c r="BT47" s="30">
        <v>1</v>
      </c>
      <c r="BU47" s="30">
        <v>1</v>
      </c>
      <c r="BV47" s="30">
        <v>1</v>
      </c>
      <c r="BW47" s="30">
        <v>1</v>
      </c>
      <c r="BX47" s="30">
        <v>1</v>
      </c>
      <c r="BY47" s="30">
        <v>1</v>
      </c>
      <c r="BZ47" s="30">
        <v>1</v>
      </c>
      <c r="CA47" s="30">
        <v>1</v>
      </c>
      <c r="CB47" s="30">
        <v>1</v>
      </c>
      <c r="CC47" s="30">
        <v>1</v>
      </c>
      <c r="CD47" s="30">
        <v>1</v>
      </c>
      <c r="CE47" s="30">
        <v>1</v>
      </c>
      <c r="CF47" s="30">
        <v>1</v>
      </c>
      <c r="CG47" s="30">
        <v>1</v>
      </c>
      <c r="CH47" s="30">
        <v>1</v>
      </c>
      <c r="CI47" s="30">
        <v>1</v>
      </c>
      <c r="CJ47" s="30">
        <v>1</v>
      </c>
      <c r="CK47" s="30">
        <v>1</v>
      </c>
      <c r="CL47" s="30">
        <v>1</v>
      </c>
      <c r="CM47" s="30">
        <v>1</v>
      </c>
      <c r="CN47" s="30">
        <v>1</v>
      </c>
      <c r="CO47" s="30">
        <v>1</v>
      </c>
      <c r="CP47" s="30">
        <v>1</v>
      </c>
      <c r="CQ47" s="30">
        <v>1</v>
      </c>
      <c r="CR47" s="30">
        <v>1</v>
      </c>
      <c r="CS47" s="30">
        <v>1</v>
      </c>
      <c r="CT47" s="30">
        <v>1</v>
      </c>
      <c r="CU47" s="30">
        <v>1</v>
      </c>
      <c r="CV47" s="30">
        <v>1</v>
      </c>
      <c r="CW47" s="30">
        <v>1</v>
      </c>
      <c r="CX47" s="30">
        <v>1</v>
      </c>
      <c r="CY47" s="30">
        <v>1</v>
      </c>
      <c r="CZ47" s="30">
        <v>1</v>
      </c>
      <c r="DA47" s="30">
        <v>1</v>
      </c>
    </row>
    <row r="48" spans="1:105" x14ac:dyDescent="0.3">
      <c r="A48" s="34" t="str">
        <f t="shared" si="2"/>
        <v>Induri - MLCDM F&amp;N Small</v>
      </c>
      <c r="B48" s="20" t="s">
        <v>82</v>
      </c>
      <c r="C48" s="20" t="s">
        <v>9</v>
      </c>
      <c r="D48" s="19" t="s">
        <v>80</v>
      </c>
      <c r="E48" s="18" t="s">
        <v>14</v>
      </c>
      <c r="F48" s="30">
        <v>4</v>
      </c>
      <c r="G48" s="30">
        <v>2</v>
      </c>
      <c r="H48" s="30">
        <v>30</v>
      </c>
      <c r="I48" s="41"/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>
        <v>1458.3333333333333</v>
      </c>
      <c r="AD48" s="21">
        <v>1458.3333333333333</v>
      </c>
      <c r="AE48" s="21">
        <v>1458.3333333333333</v>
      </c>
      <c r="AF48" s="21">
        <v>1458.3333333333333</v>
      </c>
      <c r="AG48" s="21">
        <v>1458.3333333333333</v>
      </c>
      <c r="AH48" s="21">
        <v>1458.3333333333333</v>
      </c>
      <c r="AI48" s="21"/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30">
        <v>1</v>
      </c>
      <c r="BG48" s="30">
        <v>1</v>
      </c>
      <c r="BH48" s="30">
        <v>1</v>
      </c>
      <c r="BI48" s="30">
        <v>1</v>
      </c>
      <c r="BJ48" s="30">
        <v>1</v>
      </c>
      <c r="BK48" s="30">
        <v>1</v>
      </c>
      <c r="BL48" s="30">
        <v>1</v>
      </c>
      <c r="BM48" s="30">
        <v>1</v>
      </c>
      <c r="BN48" s="30">
        <v>1</v>
      </c>
      <c r="BO48" s="30">
        <v>1</v>
      </c>
      <c r="BP48" s="30">
        <v>1</v>
      </c>
      <c r="BQ48" s="30">
        <v>1</v>
      </c>
      <c r="BR48" s="30">
        <v>1</v>
      </c>
      <c r="BS48" s="30">
        <v>1</v>
      </c>
      <c r="BT48" s="30">
        <v>1</v>
      </c>
      <c r="BU48" s="30">
        <v>1</v>
      </c>
      <c r="BV48" s="30">
        <v>1</v>
      </c>
      <c r="BW48" s="30">
        <v>1</v>
      </c>
      <c r="BX48" s="30">
        <v>1</v>
      </c>
      <c r="BY48" s="30">
        <v>1</v>
      </c>
      <c r="BZ48" s="30">
        <v>1</v>
      </c>
      <c r="CA48" s="30">
        <v>1</v>
      </c>
      <c r="CB48" s="30">
        <v>1</v>
      </c>
      <c r="CC48" s="30">
        <v>1</v>
      </c>
      <c r="CD48" s="30">
        <v>1</v>
      </c>
      <c r="CE48" s="30">
        <v>1</v>
      </c>
      <c r="CF48" s="30">
        <v>1</v>
      </c>
      <c r="CG48" s="30">
        <v>1</v>
      </c>
      <c r="CH48" s="30">
        <v>1</v>
      </c>
      <c r="CI48" s="30">
        <v>1</v>
      </c>
      <c r="CJ48" s="30">
        <v>1</v>
      </c>
      <c r="CK48" s="30">
        <v>1</v>
      </c>
      <c r="CL48" s="30">
        <v>1</v>
      </c>
      <c r="CM48" s="30">
        <v>1</v>
      </c>
      <c r="CN48" s="30">
        <v>1</v>
      </c>
      <c r="CO48" s="30">
        <v>1</v>
      </c>
      <c r="CP48" s="30">
        <v>1</v>
      </c>
      <c r="CQ48" s="30">
        <v>1</v>
      </c>
      <c r="CR48" s="30">
        <v>1</v>
      </c>
      <c r="CS48" s="30">
        <v>1</v>
      </c>
      <c r="CT48" s="30">
        <v>1</v>
      </c>
      <c r="CU48" s="30">
        <v>1</v>
      </c>
      <c r="CV48" s="30">
        <v>1</v>
      </c>
      <c r="CW48" s="30">
        <v>1</v>
      </c>
      <c r="CX48" s="30">
        <v>1</v>
      </c>
      <c r="CY48" s="30">
        <v>1</v>
      </c>
      <c r="CZ48" s="30">
        <v>1</v>
      </c>
      <c r="DA48" s="30">
        <v>1</v>
      </c>
    </row>
    <row r="49" spans="1:105" x14ac:dyDescent="0.3">
      <c r="A49" s="34" t="str">
        <f t="shared" si="2"/>
        <v>Makson - SCDM GIANDUJA 78G</v>
      </c>
      <c r="B49" s="20" t="s">
        <v>216</v>
      </c>
      <c r="C49" s="20" t="s">
        <v>5</v>
      </c>
      <c r="D49" s="19" t="s">
        <v>222</v>
      </c>
      <c r="E49" s="18" t="s">
        <v>224</v>
      </c>
      <c r="F49" s="30">
        <v>1</v>
      </c>
      <c r="G49" s="30">
        <v>3</v>
      </c>
      <c r="H49" s="30">
        <v>30</v>
      </c>
      <c r="I49" s="41"/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35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/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30">
        <v>1</v>
      </c>
      <c r="BG49" s="30">
        <v>1</v>
      </c>
      <c r="BH49" s="30">
        <v>1</v>
      </c>
      <c r="BI49" s="30">
        <v>1</v>
      </c>
      <c r="BJ49" s="30">
        <v>1</v>
      </c>
      <c r="BK49" s="30">
        <v>1</v>
      </c>
      <c r="BL49" s="30">
        <v>1</v>
      </c>
      <c r="BM49" s="30">
        <v>1</v>
      </c>
      <c r="BN49" s="30">
        <v>1</v>
      </c>
      <c r="BO49" s="30">
        <v>1</v>
      </c>
      <c r="BP49" s="30">
        <v>1</v>
      </c>
      <c r="BQ49" s="30">
        <v>1</v>
      </c>
      <c r="BR49" s="30">
        <v>1</v>
      </c>
      <c r="BS49" s="30">
        <v>1</v>
      </c>
      <c r="BT49" s="30">
        <v>1</v>
      </c>
      <c r="BU49" s="30">
        <v>1</v>
      </c>
      <c r="BV49" s="30">
        <v>1</v>
      </c>
      <c r="BW49" s="30">
        <v>1</v>
      </c>
      <c r="BX49" s="30">
        <v>1</v>
      </c>
      <c r="BY49" s="30">
        <v>1</v>
      </c>
      <c r="BZ49" s="30">
        <v>1</v>
      </c>
      <c r="CA49" s="30">
        <v>1</v>
      </c>
      <c r="CB49" s="30">
        <v>1</v>
      </c>
      <c r="CC49" s="30">
        <v>1</v>
      </c>
      <c r="CD49" s="30">
        <v>1</v>
      </c>
      <c r="CE49" s="30">
        <v>1</v>
      </c>
      <c r="CF49" s="30">
        <v>1</v>
      </c>
      <c r="CG49" s="30">
        <v>1</v>
      </c>
      <c r="CH49" s="30">
        <v>1</v>
      </c>
      <c r="CI49" s="30">
        <v>1</v>
      </c>
      <c r="CJ49" s="30">
        <v>1</v>
      </c>
      <c r="CK49" s="30">
        <v>1</v>
      </c>
      <c r="CL49" s="30">
        <v>1</v>
      </c>
      <c r="CM49" s="30">
        <v>1</v>
      </c>
      <c r="CN49" s="30">
        <v>1</v>
      </c>
      <c r="CO49" s="30">
        <v>1</v>
      </c>
      <c r="CP49" s="30">
        <v>1</v>
      </c>
      <c r="CQ49" s="30">
        <v>1</v>
      </c>
      <c r="CR49" s="30">
        <v>1</v>
      </c>
      <c r="CS49" s="30">
        <v>1</v>
      </c>
      <c r="CT49" s="30">
        <v>1</v>
      </c>
      <c r="CU49" s="30">
        <v>1</v>
      </c>
      <c r="CV49" s="30">
        <v>1</v>
      </c>
      <c r="CW49" s="30">
        <v>1</v>
      </c>
      <c r="CX49" s="30">
        <v>1</v>
      </c>
      <c r="CY49" s="30">
        <v>1</v>
      </c>
      <c r="CZ49" s="30">
        <v>1</v>
      </c>
      <c r="DA49" s="30">
        <v>1</v>
      </c>
    </row>
    <row r="50" spans="1:105" x14ac:dyDescent="0.3">
      <c r="A50" s="34" t="str">
        <f t="shared" si="2"/>
        <v>Baddi - DPCCDM HT</v>
      </c>
      <c r="B50" s="27" t="s">
        <v>36</v>
      </c>
      <c r="C50" s="20" t="s">
        <v>1</v>
      </c>
      <c r="D50" s="19" t="s">
        <v>23</v>
      </c>
      <c r="E50" s="18" t="s">
        <v>37</v>
      </c>
      <c r="F50" s="30">
        <v>5</v>
      </c>
      <c r="G50" s="30">
        <v>3</v>
      </c>
      <c r="H50" s="30">
        <v>30</v>
      </c>
      <c r="I50" s="41"/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/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0</v>
      </c>
      <c r="AR50" s="21">
        <v>0</v>
      </c>
      <c r="AS50" s="21">
        <v>0</v>
      </c>
      <c r="AT50" s="21">
        <v>0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30">
        <v>1</v>
      </c>
      <c r="BG50" s="30">
        <v>1</v>
      </c>
      <c r="BH50" s="30">
        <v>1</v>
      </c>
      <c r="BI50" s="30">
        <v>1</v>
      </c>
      <c r="BJ50" s="30">
        <v>1</v>
      </c>
      <c r="BK50" s="30">
        <v>1</v>
      </c>
      <c r="BL50" s="30">
        <v>1</v>
      </c>
      <c r="BM50" s="30">
        <v>1</v>
      </c>
      <c r="BN50" s="30">
        <v>1</v>
      </c>
      <c r="BO50" s="30">
        <v>1</v>
      </c>
      <c r="BP50" s="30">
        <v>1</v>
      </c>
      <c r="BQ50" s="30">
        <v>1</v>
      </c>
      <c r="BR50" s="30">
        <v>1</v>
      </c>
      <c r="BS50" s="30">
        <v>1</v>
      </c>
      <c r="BT50" s="30">
        <v>1</v>
      </c>
      <c r="BU50" s="30">
        <v>1</v>
      </c>
      <c r="BV50" s="30">
        <v>1</v>
      </c>
      <c r="BW50" s="30">
        <v>1</v>
      </c>
      <c r="BX50" s="30">
        <v>1</v>
      </c>
      <c r="BY50" s="30">
        <v>1</v>
      </c>
      <c r="BZ50" s="30">
        <v>1</v>
      </c>
      <c r="CA50" s="30">
        <v>1</v>
      </c>
      <c r="CB50" s="30">
        <v>1</v>
      </c>
      <c r="CC50" s="30">
        <v>1</v>
      </c>
      <c r="CD50" s="30">
        <v>1</v>
      </c>
      <c r="CE50" s="30">
        <v>1</v>
      </c>
      <c r="CF50" s="30">
        <v>1</v>
      </c>
      <c r="CG50" s="30">
        <v>1</v>
      </c>
      <c r="CH50" s="30">
        <v>1</v>
      </c>
      <c r="CI50" s="30">
        <v>1</v>
      </c>
      <c r="CJ50" s="30">
        <v>1</v>
      </c>
      <c r="CK50" s="30">
        <v>1</v>
      </c>
      <c r="CL50" s="30">
        <v>1</v>
      </c>
      <c r="CM50" s="30">
        <v>1</v>
      </c>
      <c r="CN50" s="30">
        <v>1</v>
      </c>
      <c r="CO50" s="30">
        <v>1</v>
      </c>
      <c r="CP50" s="30">
        <v>1</v>
      </c>
      <c r="CQ50" s="30">
        <v>1</v>
      </c>
      <c r="CR50" s="30">
        <v>1</v>
      </c>
      <c r="CS50" s="30">
        <v>1</v>
      </c>
      <c r="CT50" s="30">
        <v>1</v>
      </c>
      <c r="CU50" s="30">
        <v>1</v>
      </c>
      <c r="CV50" s="30">
        <v>1</v>
      </c>
      <c r="CW50" s="30">
        <v>1</v>
      </c>
      <c r="CX50" s="30">
        <v>1</v>
      </c>
      <c r="CY50" s="30">
        <v>1</v>
      </c>
      <c r="CZ50" s="30">
        <v>1</v>
      </c>
      <c r="DA50" s="30">
        <v>1</v>
      </c>
    </row>
    <row r="51" spans="1:105" x14ac:dyDescent="0.3">
      <c r="A51" s="34" t="str">
        <f t="shared" si="2"/>
        <v>Makson - BCDM HT</v>
      </c>
      <c r="B51" s="20" t="s">
        <v>225</v>
      </c>
      <c r="C51" s="20" t="s">
        <v>13</v>
      </c>
      <c r="D51" s="19" t="s">
        <v>23</v>
      </c>
      <c r="E51" s="18" t="s">
        <v>37</v>
      </c>
      <c r="F51" s="30">
        <v>1</v>
      </c>
      <c r="G51" s="30">
        <v>2</v>
      </c>
      <c r="H51" s="30">
        <v>30</v>
      </c>
      <c r="I51" s="41"/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/>
      <c r="AJ51" s="21">
        <v>0</v>
      </c>
      <c r="AK51" s="21">
        <v>0</v>
      </c>
      <c r="AL51" s="21">
        <v>0</v>
      </c>
      <c r="AM51" s="21">
        <v>0</v>
      </c>
      <c r="AN51" s="21">
        <v>0</v>
      </c>
      <c r="AO51" s="21">
        <v>0</v>
      </c>
      <c r="AP51" s="21">
        <v>0</v>
      </c>
      <c r="AQ51" s="21">
        <v>0</v>
      </c>
      <c r="AR51" s="21">
        <v>0</v>
      </c>
      <c r="AS51" s="21">
        <v>0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0</v>
      </c>
      <c r="BA51" s="21">
        <v>0</v>
      </c>
      <c r="BB51" s="21">
        <v>0</v>
      </c>
      <c r="BC51" s="21">
        <v>0</v>
      </c>
      <c r="BD51" s="21">
        <v>0</v>
      </c>
      <c r="BE51" s="21">
        <v>0</v>
      </c>
      <c r="BF51" s="30">
        <v>1</v>
      </c>
      <c r="BG51" s="30">
        <v>1</v>
      </c>
      <c r="BH51" s="30">
        <v>1</v>
      </c>
      <c r="BI51" s="30">
        <v>1</v>
      </c>
      <c r="BJ51" s="30">
        <v>1</v>
      </c>
      <c r="BK51" s="30">
        <v>1</v>
      </c>
      <c r="BL51" s="30">
        <v>1</v>
      </c>
      <c r="BM51" s="30">
        <v>1</v>
      </c>
      <c r="BN51" s="30">
        <v>1</v>
      </c>
      <c r="BO51" s="30">
        <v>1</v>
      </c>
      <c r="BP51" s="30">
        <v>1</v>
      </c>
      <c r="BQ51" s="30">
        <v>1</v>
      </c>
      <c r="BR51" s="30">
        <v>1</v>
      </c>
      <c r="BS51" s="30">
        <v>1</v>
      </c>
      <c r="BT51" s="30">
        <v>1</v>
      </c>
      <c r="BU51" s="30">
        <v>1</v>
      </c>
      <c r="BV51" s="30">
        <v>1</v>
      </c>
      <c r="BW51" s="30">
        <v>1</v>
      </c>
      <c r="BX51" s="30">
        <v>1</v>
      </c>
      <c r="BY51" s="30">
        <v>1</v>
      </c>
      <c r="BZ51" s="30">
        <v>1</v>
      </c>
      <c r="CA51" s="30">
        <v>1</v>
      </c>
      <c r="CB51" s="30">
        <v>1</v>
      </c>
      <c r="CC51" s="30">
        <v>1</v>
      </c>
      <c r="CD51" s="30">
        <v>1</v>
      </c>
      <c r="CE51" s="30">
        <v>1</v>
      </c>
      <c r="CF51" s="30">
        <v>1</v>
      </c>
      <c r="CG51" s="30">
        <v>1</v>
      </c>
      <c r="CH51" s="30">
        <v>1</v>
      </c>
      <c r="CI51" s="30">
        <v>1</v>
      </c>
      <c r="CJ51" s="30">
        <v>1</v>
      </c>
      <c r="CK51" s="30">
        <v>1</v>
      </c>
      <c r="CL51" s="30">
        <v>1</v>
      </c>
      <c r="CM51" s="30">
        <v>1</v>
      </c>
      <c r="CN51" s="30">
        <v>1</v>
      </c>
      <c r="CO51" s="30">
        <v>1</v>
      </c>
      <c r="CP51" s="30">
        <v>1</v>
      </c>
      <c r="CQ51" s="30">
        <v>1</v>
      </c>
      <c r="CR51" s="30">
        <v>1</v>
      </c>
      <c r="CS51" s="30">
        <v>1</v>
      </c>
      <c r="CT51" s="30">
        <v>1</v>
      </c>
      <c r="CU51" s="30">
        <v>1</v>
      </c>
      <c r="CV51" s="30">
        <v>1</v>
      </c>
      <c r="CW51" s="30">
        <v>1</v>
      </c>
      <c r="CX51" s="30">
        <v>1</v>
      </c>
      <c r="CY51" s="30">
        <v>1</v>
      </c>
      <c r="CZ51" s="30">
        <v>1</v>
      </c>
      <c r="DA51" s="30">
        <v>1</v>
      </c>
    </row>
    <row r="52" spans="1:105" x14ac:dyDescent="0.3">
      <c r="A52" s="34" t="str">
        <f t="shared" si="2"/>
        <v>Baddi - DPCCDM HT 200</v>
      </c>
      <c r="B52" s="27" t="s">
        <v>36</v>
      </c>
      <c r="C52" s="20" t="s">
        <v>1</v>
      </c>
      <c r="D52" s="19" t="s">
        <v>23</v>
      </c>
      <c r="E52" s="18" t="s">
        <v>38</v>
      </c>
      <c r="F52" s="30">
        <v>5</v>
      </c>
      <c r="G52" s="30">
        <v>3</v>
      </c>
      <c r="H52" s="30">
        <v>30</v>
      </c>
      <c r="I52" s="41"/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/>
      <c r="AJ52" s="21">
        <v>0</v>
      </c>
      <c r="AK52" s="21">
        <v>0</v>
      </c>
      <c r="AL52" s="21">
        <v>0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0</v>
      </c>
      <c r="AS52" s="21">
        <v>0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0</v>
      </c>
      <c r="BF52" s="30">
        <v>1</v>
      </c>
      <c r="BG52" s="30">
        <v>1</v>
      </c>
      <c r="BH52" s="30">
        <v>1</v>
      </c>
      <c r="BI52" s="30">
        <v>1</v>
      </c>
      <c r="BJ52" s="30">
        <v>1</v>
      </c>
      <c r="BK52" s="30">
        <v>1</v>
      </c>
      <c r="BL52" s="30">
        <v>1</v>
      </c>
      <c r="BM52" s="30">
        <v>1</v>
      </c>
      <c r="BN52" s="30">
        <v>1</v>
      </c>
      <c r="BO52" s="30">
        <v>1</v>
      </c>
      <c r="BP52" s="30">
        <v>1</v>
      </c>
      <c r="BQ52" s="30">
        <v>1</v>
      </c>
      <c r="BR52" s="30">
        <v>1</v>
      </c>
      <c r="BS52" s="30">
        <v>1</v>
      </c>
      <c r="BT52" s="30">
        <v>1</v>
      </c>
      <c r="BU52" s="30">
        <v>1</v>
      </c>
      <c r="BV52" s="30">
        <v>1</v>
      </c>
      <c r="BW52" s="30">
        <v>1</v>
      </c>
      <c r="BX52" s="30">
        <v>1</v>
      </c>
      <c r="BY52" s="30">
        <v>1</v>
      </c>
      <c r="BZ52" s="30">
        <v>1</v>
      </c>
      <c r="CA52" s="30">
        <v>1</v>
      </c>
      <c r="CB52" s="30">
        <v>1</v>
      </c>
      <c r="CC52" s="30">
        <v>1</v>
      </c>
      <c r="CD52" s="30">
        <v>1</v>
      </c>
      <c r="CE52" s="30">
        <v>1</v>
      </c>
      <c r="CF52" s="30">
        <v>1</v>
      </c>
      <c r="CG52" s="30">
        <v>1</v>
      </c>
      <c r="CH52" s="30">
        <v>1</v>
      </c>
      <c r="CI52" s="30">
        <v>1</v>
      </c>
      <c r="CJ52" s="30">
        <v>1</v>
      </c>
      <c r="CK52" s="30">
        <v>1</v>
      </c>
      <c r="CL52" s="30">
        <v>1</v>
      </c>
      <c r="CM52" s="30">
        <v>1</v>
      </c>
      <c r="CN52" s="30">
        <v>1</v>
      </c>
      <c r="CO52" s="30">
        <v>1</v>
      </c>
      <c r="CP52" s="30">
        <v>1</v>
      </c>
      <c r="CQ52" s="30">
        <v>1</v>
      </c>
      <c r="CR52" s="30">
        <v>1</v>
      </c>
      <c r="CS52" s="30">
        <v>1</v>
      </c>
      <c r="CT52" s="30">
        <v>1</v>
      </c>
      <c r="CU52" s="30">
        <v>1</v>
      </c>
      <c r="CV52" s="30">
        <v>1</v>
      </c>
      <c r="CW52" s="30">
        <v>1</v>
      </c>
      <c r="CX52" s="30">
        <v>1</v>
      </c>
      <c r="CY52" s="30">
        <v>1</v>
      </c>
      <c r="CZ52" s="30">
        <v>1</v>
      </c>
      <c r="DA52" s="30">
        <v>1</v>
      </c>
    </row>
    <row r="53" spans="1:105" x14ac:dyDescent="0.3">
      <c r="A53" s="34" t="str">
        <f t="shared" si="2"/>
        <v>Makson - BCDM HT 200</v>
      </c>
      <c r="B53" s="20" t="s">
        <v>225</v>
      </c>
      <c r="C53" s="20" t="s">
        <v>13</v>
      </c>
      <c r="D53" s="19" t="s">
        <v>23</v>
      </c>
      <c r="E53" s="18" t="s">
        <v>38</v>
      </c>
      <c r="F53" s="30">
        <v>1</v>
      </c>
      <c r="G53" s="30">
        <v>1</v>
      </c>
      <c r="H53" s="30">
        <v>30</v>
      </c>
      <c r="I53" s="41"/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>
        <v>0</v>
      </c>
      <c r="AD53" s="21">
        <v>0</v>
      </c>
      <c r="AE53" s="21">
        <v>0</v>
      </c>
      <c r="AF53" s="21">
        <v>0</v>
      </c>
      <c r="AG53" s="21">
        <v>0</v>
      </c>
      <c r="AH53" s="21">
        <v>0</v>
      </c>
      <c r="AI53" s="21"/>
      <c r="AJ53" s="21">
        <v>0</v>
      </c>
      <c r="AK53" s="21">
        <v>0</v>
      </c>
      <c r="AL53" s="21">
        <v>0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0</v>
      </c>
      <c r="AS53" s="21">
        <v>0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0</v>
      </c>
      <c r="BF53" s="30">
        <v>1</v>
      </c>
      <c r="BG53" s="30">
        <v>1</v>
      </c>
      <c r="BH53" s="30">
        <v>1</v>
      </c>
      <c r="BI53" s="30">
        <v>1</v>
      </c>
      <c r="BJ53" s="30">
        <v>1</v>
      </c>
      <c r="BK53" s="30">
        <v>1</v>
      </c>
      <c r="BL53" s="30">
        <v>1</v>
      </c>
      <c r="BM53" s="30">
        <v>1</v>
      </c>
      <c r="BN53" s="30">
        <v>1</v>
      </c>
      <c r="BO53" s="30">
        <v>1</v>
      </c>
      <c r="BP53" s="30">
        <v>1</v>
      </c>
      <c r="BQ53" s="30">
        <v>1</v>
      </c>
      <c r="BR53" s="30">
        <v>1</v>
      </c>
      <c r="BS53" s="30">
        <v>1</v>
      </c>
      <c r="BT53" s="30">
        <v>1</v>
      </c>
      <c r="BU53" s="30">
        <v>1</v>
      </c>
      <c r="BV53" s="30">
        <v>1</v>
      </c>
      <c r="BW53" s="30">
        <v>1</v>
      </c>
      <c r="BX53" s="30">
        <v>1</v>
      </c>
      <c r="BY53" s="30">
        <v>1</v>
      </c>
      <c r="BZ53" s="30">
        <v>1</v>
      </c>
      <c r="CA53" s="30">
        <v>1</v>
      </c>
      <c r="CB53" s="30">
        <v>1</v>
      </c>
      <c r="CC53" s="30">
        <v>1</v>
      </c>
      <c r="CD53" s="30">
        <v>1</v>
      </c>
      <c r="CE53" s="30">
        <v>1</v>
      </c>
      <c r="CF53" s="30">
        <v>1</v>
      </c>
      <c r="CG53" s="30">
        <v>1</v>
      </c>
      <c r="CH53" s="30">
        <v>1</v>
      </c>
      <c r="CI53" s="30">
        <v>1</v>
      </c>
      <c r="CJ53" s="30">
        <v>1</v>
      </c>
      <c r="CK53" s="30">
        <v>1</v>
      </c>
      <c r="CL53" s="30">
        <v>1</v>
      </c>
      <c r="CM53" s="30">
        <v>1</v>
      </c>
      <c r="CN53" s="30">
        <v>1</v>
      </c>
      <c r="CO53" s="30">
        <v>1</v>
      </c>
      <c r="CP53" s="30">
        <v>1</v>
      </c>
      <c r="CQ53" s="30">
        <v>1</v>
      </c>
      <c r="CR53" s="30">
        <v>1</v>
      </c>
      <c r="CS53" s="30">
        <v>1</v>
      </c>
      <c r="CT53" s="30">
        <v>1</v>
      </c>
      <c r="CU53" s="30">
        <v>1</v>
      </c>
      <c r="CV53" s="30">
        <v>1</v>
      </c>
      <c r="CW53" s="30">
        <v>1</v>
      </c>
      <c r="CX53" s="30">
        <v>1</v>
      </c>
      <c r="CY53" s="30">
        <v>1</v>
      </c>
      <c r="CZ53" s="30">
        <v>1</v>
      </c>
      <c r="DA53" s="30">
        <v>1</v>
      </c>
    </row>
    <row r="54" spans="1:105" x14ac:dyDescent="0.3">
      <c r="A54" s="34" t="str">
        <f t="shared" si="2"/>
        <v>Baddi - DPCCDM HT bulk</v>
      </c>
      <c r="B54" s="27" t="s">
        <v>36</v>
      </c>
      <c r="C54" s="20" t="s">
        <v>1</v>
      </c>
      <c r="D54" s="19" t="s">
        <v>23</v>
      </c>
      <c r="E54" s="18" t="s">
        <v>39</v>
      </c>
      <c r="F54" s="30">
        <v>5</v>
      </c>
      <c r="G54" s="30">
        <v>2</v>
      </c>
      <c r="H54" s="30">
        <v>30</v>
      </c>
      <c r="I54" s="41"/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>
        <v>0</v>
      </c>
      <c r="AD54" s="21">
        <v>0</v>
      </c>
      <c r="AE54" s="21">
        <v>0</v>
      </c>
      <c r="AF54" s="21">
        <v>0</v>
      </c>
      <c r="AG54" s="21">
        <v>0</v>
      </c>
      <c r="AH54" s="21">
        <v>0</v>
      </c>
      <c r="AI54" s="21"/>
      <c r="AJ54" s="21">
        <v>0</v>
      </c>
      <c r="AK54" s="21">
        <v>0</v>
      </c>
      <c r="AL54" s="21">
        <v>0</v>
      </c>
      <c r="AM54" s="21">
        <v>0</v>
      </c>
      <c r="AN54" s="21">
        <v>0</v>
      </c>
      <c r="AO54" s="21">
        <v>0</v>
      </c>
      <c r="AP54" s="21">
        <v>0</v>
      </c>
      <c r="AQ54" s="21">
        <v>0</v>
      </c>
      <c r="AR54" s="21">
        <v>0</v>
      </c>
      <c r="AS54" s="21">
        <v>0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0</v>
      </c>
      <c r="BA54" s="21">
        <v>0</v>
      </c>
      <c r="BB54" s="21">
        <v>0</v>
      </c>
      <c r="BC54" s="21">
        <v>0</v>
      </c>
      <c r="BD54" s="21">
        <v>0</v>
      </c>
      <c r="BE54" s="21">
        <v>0</v>
      </c>
      <c r="BF54" s="30">
        <v>1</v>
      </c>
      <c r="BG54" s="30">
        <v>1</v>
      </c>
      <c r="BH54" s="30">
        <v>1</v>
      </c>
      <c r="BI54" s="30">
        <v>1</v>
      </c>
      <c r="BJ54" s="30">
        <v>1</v>
      </c>
      <c r="BK54" s="30">
        <v>1</v>
      </c>
      <c r="BL54" s="30">
        <v>1</v>
      </c>
      <c r="BM54" s="30">
        <v>1</v>
      </c>
      <c r="BN54" s="30">
        <v>1</v>
      </c>
      <c r="BO54" s="30">
        <v>1</v>
      </c>
      <c r="BP54" s="30">
        <v>1</v>
      </c>
      <c r="BQ54" s="30">
        <v>1</v>
      </c>
      <c r="BR54" s="30">
        <v>1</v>
      </c>
      <c r="BS54" s="30">
        <v>1</v>
      </c>
      <c r="BT54" s="30">
        <v>1</v>
      </c>
      <c r="BU54" s="30">
        <v>1</v>
      </c>
      <c r="BV54" s="30">
        <v>1</v>
      </c>
      <c r="BW54" s="30">
        <v>1</v>
      </c>
      <c r="BX54" s="30">
        <v>1</v>
      </c>
      <c r="BY54" s="30">
        <v>1</v>
      </c>
      <c r="BZ54" s="30">
        <v>1</v>
      </c>
      <c r="CA54" s="30">
        <v>1</v>
      </c>
      <c r="CB54" s="30">
        <v>1</v>
      </c>
      <c r="CC54" s="30">
        <v>1</v>
      </c>
      <c r="CD54" s="30">
        <v>1</v>
      </c>
      <c r="CE54" s="30">
        <v>1</v>
      </c>
      <c r="CF54" s="30">
        <v>1</v>
      </c>
      <c r="CG54" s="30">
        <v>1</v>
      </c>
      <c r="CH54" s="30">
        <v>1</v>
      </c>
      <c r="CI54" s="30">
        <v>1</v>
      </c>
      <c r="CJ54" s="30">
        <v>1</v>
      </c>
      <c r="CK54" s="30">
        <v>1</v>
      </c>
      <c r="CL54" s="30">
        <v>1</v>
      </c>
      <c r="CM54" s="30">
        <v>1</v>
      </c>
      <c r="CN54" s="30">
        <v>1</v>
      </c>
      <c r="CO54" s="30">
        <v>1</v>
      </c>
      <c r="CP54" s="30">
        <v>1</v>
      </c>
      <c r="CQ54" s="30">
        <v>1</v>
      </c>
      <c r="CR54" s="30">
        <v>1</v>
      </c>
      <c r="CS54" s="30">
        <v>1</v>
      </c>
      <c r="CT54" s="30">
        <v>1</v>
      </c>
      <c r="CU54" s="30">
        <v>1</v>
      </c>
      <c r="CV54" s="30">
        <v>1</v>
      </c>
      <c r="CW54" s="30">
        <v>1</v>
      </c>
      <c r="CX54" s="30">
        <v>1</v>
      </c>
      <c r="CY54" s="30">
        <v>1</v>
      </c>
      <c r="CZ54" s="30">
        <v>1</v>
      </c>
      <c r="DA54" s="30">
        <v>1</v>
      </c>
    </row>
    <row r="55" spans="1:105" x14ac:dyDescent="0.3">
      <c r="A55" s="34" t="str">
        <f t="shared" si="2"/>
        <v>Makson - BCDM HT bulk</v>
      </c>
      <c r="B55" s="20" t="s">
        <v>225</v>
      </c>
      <c r="C55" s="20" t="s">
        <v>13</v>
      </c>
      <c r="D55" s="19" t="s">
        <v>23</v>
      </c>
      <c r="E55" s="18" t="s">
        <v>39</v>
      </c>
      <c r="F55" s="30">
        <v>1</v>
      </c>
      <c r="G55" s="30">
        <v>3</v>
      </c>
      <c r="H55" s="30">
        <v>30</v>
      </c>
      <c r="I55" s="41"/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>
        <v>0</v>
      </c>
      <c r="AD55" s="21">
        <v>0</v>
      </c>
      <c r="AE55" s="21">
        <v>0</v>
      </c>
      <c r="AF55" s="21">
        <v>0</v>
      </c>
      <c r="AG55" s="21">
        <v>0</v>
      </c>
      <c r="AH55" s="21">
        <v>0</v>
      </c>
      <c r="AI55" s="21"/>
      <c r="AJ55" s="21">
        <v>0</v>
      </c>
      <c r="AK55" s="21">
        <v>0</v>
      </c>
      <c r="AL55" s="21">
        <v>0</v>
      </c>
      <c r="AM55" s="21">
        <v>0</v>
      </c>
      <c r="AN55" s="21">
        <v>0</v>
      </c>
      <c r="AO55" s="21">
        <v>0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0</v>
      </c>
      <c r="BA55" s="21">
        <v>0</v>
      </c>
      <c r="BB55" s="21">
        <v>0</v>
      </c>
      <c r="BC55" s="21">
        <v>0</v>
      </c>
      <c r="BD55" s="21">
        <v>0</v>
      </c>
      <c r="BE55" s="21">
        <v>0</v>
      </c>
      <c r="BF55" s="30">
        <v>1</v>
      </c>
      <c r="BG55" s="30">
        <v>1</v>
      </c>
      <c r="BH55" s="30">
        <v>1</v>
      </c>
      <c r="BI55" s="30">
        <v>1</v>
      </c>
      <c r="BJ55" s="30">
        <v>1</v>
      </c>
      <c r="BK55" s="30">
        <v>1</v>
      </c>
      <c r="BL55" s="30">
        <v>1</v>
      </c>
      <c r="BM55" s="30">
        <v>1</v>
      </c>
      <c r="BN55" s="30">
        <v>1</v>
      </c>
      <c r="BO55" s="30">
        <v>1</v>
      </c>
      <c r="BP55" s="30">
        <v>1</v>
      </c>
      <c r="BQ55" s="30">
        <v>1</v>
      </c>
      <c r="BR55" s="30">
        <v>1</v>
      </c>
      <c r="BS55" s="30">
        <v>1</v>
      </c>
      <c r="BT55" s="30">
        <v>1</v>
      </c>
      <c r="BU55" s="30">
        <v>1</v>
      </c>
      <c r="BV55" s="30">
        <v>1</v>
      </c>
      <c r="BW55" s="30">
        <v>1</v>
      </c>
      <c r="BX55" s="30">
        <v>1</v>
      </c>
      <c r="BY55" s="30">
        <v>1</v>
      </c>
      <c r="BZ55" s="30">
        <v>1</v>
      </c>
      <c r="CA55" s="30">
        <v>1</v>
      </c>
      <c r="CB55" s="30">
        <v>1</v>
      </c>
      <c r="CC55" s="30">
        <v>1</v>
      </c>
      <c r="CD55" s="30">
        <v>1</v>
      </c>
      <c r="CE55" s="30">
        <v>1</v>
      </c>
      <c r="CF55" s="30">
        <v>1</v>
      </c>
      <c r="CG55" s="30">
        <v>1</v>
      </c>
      <c r="CH55" s="30">
        <v>1</v>
      </c>
      <c r="CI55" s="30">
        <v>1</v>
      </c>
      <c r="CJ55" s="30">
        <v>1</v>
      </c>
      <c r="CK55" s="30">
        <v>1</v>
      </c>
      <c r="CL55" s="30">
        <v>1</v>
      </c>
      <c r="CM55" s="30">
        <v>1</v>
      </c>
      <c r="CN55" s="30">
        <v>1</v>
      </c>
      <c r="CO55" s="30">
        <v>1</v>
      </c>
      <c r="CP55" s="30">
        <v>1</v>
      </c>
      <c r="CQ55" s="30">
        <v>1</v>
      </c>
      <c r="CR55" s="30">
        <v>1</v>
      </c>
      <c r="CS55" s="30">
        <v>1</v>
      </c>
      <c r="CT55" s="30">
        <v>1</v>
      </c>
      <c r="CU55" s="30">
        <v>1</v>
      </c>
      <c r="CV55" s="30">
        <v>1</v>
      </c>
      <c r="CW55" s="30">
        <v>1</v>
      </c>
      <c r="CX55" s="30">
        <v>1</v>
      </c>
      <c r="CY55" s="30">
        <v>1</v>
      </c>
      <c r="CZ55" s="30">
        <v>1</v>
      </c>
      <c r="DA55" s="30">
        <v>1</v>
      </c>
    </row>
    <row r="56" spans="1:105" x14ac:dyDescent="0.3">
      <c r="A56" s="34" t="str">
        <f t="shared" si="2"/>
        <v>Makson - SCDM Milk Large</v>
      </c>
      <c r="B56" s="20" t="s">
        <v>216</v>
      </c>
      <c r="C56" s="20" t="s">
        <v>5</v>
      </c>
      <c r="D56" s="19" t="s">
        <v>80</v>
      </c>
      <c r="E56" s="18" t="s">
        <v>226</v>
      </c>
      <c r="F56" s="30">
        <v>1</v>
      </c>
      <c r="G56" s="30">
        <v>1</v>
      </c>
      <c r="H56" s="30">
        <v>30</v>
      </c>
      <c r="I56" s="41"/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>
        <v>0</v>
      </c>
      <c r="AD56" s="21">
        <v>0</v>
      </c>
      <c r="AE56" s="21">
        <v>0</v>
      </c>
      <c r="AF56" s="21">
        <v>0</v>
      </c>
      <c r="AG56" s="21">
        <v>0</v>
      </c>
      <c r="AH56" s="21">
        <v>0</v>
      </c>
      <c r="AI56" s="21"/>
      <c r="AJ56" s="21">
        <v>0</v>
      </c>
      <c r="AK56" s="21">
        <v>0</v>
      </c>
      <c r="AL56" s="21">
        <v>0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0</v>
      </c>
      <c r="BF56" s="30">
        <v>1</v>
      </c>
      <c r="BG56" s="30">
        <v>1</v>
      </c>
      <c r="BH56" s="30">
        <v>1</v>
      </c>
      <c r="BI56" s="30">
        <v>1</v>
      </c>
      <c r="BJ56" s="30">
        <v>1</v>
      </c>
      <c r="BK56" s="30">
        <v>1</v>
      </c>
      <c r="BL56" s="30">
        <v>1</v>
      </c>
      <c r="BM56" s="30">
        <v>1</v>
      </c>
      <c r="BN56" s="30">
        <v>1</v>
      </c>
      <c r="BO56" s="30">
        <v>1</v>
      </c>
      <c r="BP56" s="30">
        <v>1</v>
      </c>
      <c r="BQ56" s="30">
        <v>1</v>
      </c>
      <c r="BR56" s="30">
        <v>1</v>
      </c>
      <c r="BS56" s="30">
        <v>1</v>
      </c>
      <c r="BT56" s="30">
        <v>1</v>
      </c>
      <c r="BU56" s="30">
        <v>1</v>
      </c>
      <c r="BV56" s="30">
        <v>1</v>
      </c>
      <c r="BW56" s="30">
        <v>1</v>
      </c>
      <c r="BX56" s="30">
        <v>1</v>
      </c>
      <c r="BY56" s="30">
        <v>1</v>
      </c>
      <c r="BZ56" s="30">
        <v>1</v>
      </c>
      <c r="CA56" s="30">
        <v>1</v>
      </c>
      <c r="CB56" s="30">
        <v>1</v>
      </c>
      <c r="CC56" s="30">
        <v>1</v>
      </c>
      <c r="CD56" s="30">
        <v>1</v>
      </c>
      <c r="CE56" s="30">
        <v>1</v>
      </c>
      <c r="CF56" s="30">
        <v>1</v>
      </c>
      <c r="CG56" s="30">
        <v>1</v>
      </c>
      <c r="CH56" s="30">
        <v>1</v>
      </c>
      <c r="CI56" s="30">
        <v>1</v>
      </c>
      <c r="CJ56" s="30">
        <v>1</v>
      </c>
      <c r="CK56" s="30">
        <v>1</v>
      </c>
      <c r="CL56" s="30">
        <v>1</v>
      </c>
      <c r="CM56" s="30">
        <v>1</v>
      </c>
      <c r="CN56" s="30">
        <v>1</v>
      </c>
      <c r="CO56" s="30">
        <v>1</v>
      </c>
      <c r="CP56" s="30">
        <v>1</v>
      </c>
      <c r="CQ56" s="30">
        <v>1</v>
      </c>
      <c r="CR56" s="30">
        <v>1</v>
      </c>
      <c r="CS56" s="30">
        <v>1</v>
      </c>
      <c r="CT56" s="30">
        <v>1</v>
      </c>
      <c r="CU56" s="30">
        <v>1</v>
      </c>
      <c r="CV56" s="30">
        <v>1</v>
      </c>
      <c r="CW56" s="30">
        <v>1</v>
      </c>
      <c r="CX56" s="30">
        <v>1</v>
      </c>
      <c r="CY56" s="30">
        <v>1</v>
      </c>
      <c r="CZ56" s="30">
        <v>1</v>
      </c>
      <c r="DA56" s="30">
        <v>1</v>
      </c>
    </row>
    <row r="57" spans="1:105" x14ac:dyDescent="0.3">
      <c r="A57" s="34" t="str">
        <f t="shared" si="2"/>
        <v>Makson - SCDM Milk Small</v>
      </c>
      <c r="B57" s="20" t="s">
        <v>216</v>
      </c>
      <c r="C57" s="20" t="s">
        <v>5</v>
      </c>
      <c r="D57" s="19" t="s">
        <v>80</v>
      </c>
      <c r="E57" s="18" t="s">
        <v>227</v>
      </c>
      <c r="F57" s="30">
        <v>1</v>
      </c>
      <c r="G57" s="30">
        <v>3</v>
      </c>
      <c r="H57" s="30">
        <v>30</v>
      </c>
      <c r="I57" s="41"/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>
        <v>0</v>
      </c>
      <c r="AD57" s="21">
        <v>0</v>
      </c>
      <c r="AE57" s="21">
        <v>0</v>
      </c>
      <c r="AF57" s="21">
        <v>0</v>
      </c>
      <c r="AG57" s="21">
        <v>0</v>
      </c>
      <c r="AH57" s="21">
        <v>0</v>
      </c>
      <c r="AI57" s="21"/>
      <c r="AJ57" s="21">
        <v>0</v>
      </c>
      <c r="AK57" s="21">
        <v>0</v>
      </c>
      <c r="AL57" s="21">
        <v>0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0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0</v>
      </c>
      <c r="BB57" s="21">
        <v>0</v>
      </c>
      <c r="BC57" s="21">
        <v>0</v>
      </c>
      <c r="BD57" s="21">
        <v>0</v>
      </c>
      <c r="BE57" s="21">
        <v>0</v>
      </c>
      <c r="BF57" s="30">
        <v>1</v>
      </c>
      <c r="BG57" s="30">
        <v>1</v>
      </c>
      <c r="BH57" s="30">
        <v>1</v>
      </c>
      <c r="BI57" s="30">
        <v>1</v>
      </c>
      <c r="BJ57" s="30">
        <v>1</v>
      </c>
      <c r="BK57" s="30">
        <v>1</v>
      </c>
      <c r="BL57" s="30">
        <v>1</v>
      </c>
      <c r="BM57" s="30">
        <v>1</v>
      </c>
      <c r="BN57" s="30">
        <v>1</v>
      </c>
      <c r="BO57" s="30">
        <v>1</v>
      </c>
      <c r="BP57" s="30">
        <v>1</v>
      </c>
      <c r="BQ57" s="30">
        <v>1</v>
      </c>
      <c r="BR57" s="30">
        <v>1</v>
      </c>
      <c r="BS57" s="30">
        <v>1</v>
      </c>
      <c r="BT57" s="30">
        <v>1</v>
      </c>
      <c r="BU57" s="30">
        <v>1</v>
      </c>
      <c r="BV57" s="30">
        <v>1</v>
      </c>
      <c r="BW57" s="30">
        <v>1</v>
      </c>
      <c r="BX57" s="30">
        <v>1</v>
      </c>
      <c r="BY57" s="30">
        <v>1</v>
      </c>
      <c r="BZ57" s="30">
        <v>1</v>
      </c>
      <c r="CA57" s="30">
        <v>1</v>
      </c>
      <c r="CB57" s="30">
        <v>1</v>
      </c>
      <c r="CC57" s="30">
        <v>1</v>
      </c>
      <c r="CD57" s="30">
        <v>1</v>
      </c>
      <c r="CE57" s="30">
        <v>1</v>
      </c>
      <c r="CF57" s="30">
        <v>1</v>
      </c>
      <c r="CG57" s="30">
        <v>1</v>
      </c>
      <c r="CH57" s="30">
        <v>1</v>
      </c>
      <c r="CI57" s="30">
        <v>1</v>
      </c>
      <c r="CJ57" s="30">
        <v>1</v>
      </c>
      <c r="CK57" s="30">
        <v>1</v>
      </c>
      <c r="CL57" s="30">
        <v>1</v>
      </c>
      <c r="CM57" s="30">
        <v>1</v>
      </c>
      <c r="CN57" s="30">
        <v>1</v>
      </c>
      <c r="CO57" s="30">
        <v>1</v>
      </c>
      <c r="CP57" s="30">
        <v>1</v>
      </c>
      <c r="CQ57" s="30">
        <v>1</v>
      </c>
      <c r="CR57" s="30">
        <v>1</v>
      </c>
      <c r="CS57" s="30">
        <v>1</v>
      </c>
      <c r="CT57" s="30">
        <v>1</v>
      </c>
      <c r="CU57" s="30">
        <v>1</v>
      </c>
      <c r="CV57" s="30">
        <v>1</v>
      </c>
      <c r="CW57" s="30">
        <v>1</v>
      </c>
      <c r="CX57" s="30">
        <v>1</v>
      </c>
      <c r="CY57" s="30">
        <v>1</v>
      </c>
      <c r="CZ57" s="30">
        <v>1</v>
      </c>
      <c r="DA57" s="30">
        <v>1</v>
      </c>
    </row>
    <row r="58" spans="1:105" x14ac:dyDescent="0.3">
      <c r="A58" s="34" t="str">
        <f t="shared" si="2"/>
        <v>Sricity - LOFCDM RA Large</v>
      </c>
      <c r="B58" s="20" t="s">
        <v>81</v>
      </c>
      <c r="C58" s="20" t="s">
        <v>19</v>
      </c>
      <c r="D58" s="19" t="s">
        <v>80</v>
      </c>
      <c r="E58" s="18" t="s">
        <v>10</v>
      </c>
      <c r="F58" s="30">
        <v>1</v>
      </c>
      <c r="G58" s="30">
        <v>3</v>
      </c>
      <c r="H58" s="30">
        <v>30</v>
      </c>
      <c r="I58" s="41"/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/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30">
        <v>1</v>
      </c>
      <c r="BG58" s="30">
        <v>1</v>
      </c>
      <c r="BH58" s="30">
        <v>1</v>
      </c>
      <c r="BI58" s="30">
        <v>1</v>
      </c>
      <c r="BJ58" s="30">
        <v>1</v>
      </c>
      <c r="BK58" s="30">
        <v>1</v>
      </c>
      <c r="BL58" s="30">
        <v>1</v>
      </c>
      <c r="BM58" s="30">
        <v>1</v>
      </c>
      <c r="BN58" s="30">
        <v>1</v>
      </c>
      <c r="BO58" s="30">
        <v>1</v>
      </c>
      <c r="BP58" s="30">
        <v>1</v>
      </c>
      <c r="BQ58" s="30">
        <v>1</v>
      </c>
      <c r="BR58" s="30">
        <v>1</v>
      </c>
      <c r="BS58" s="30">
        <v>1</v>
      </c>
      <c r="BT58" s="30">
        <v>1</v>
      </c>
      <c r="BU58" s="30">
        <v>1</v>
      </c>
      <c r="BV58" s="30">
        <v>1</v>
      </c>
      <c r="BW58" s="30">
        <v>1</v>
      </c>
      <c r="BX58" s="30">
        <v>1</v>
      </c>
      <c r="BY58" s="30">
        <v>1</v>
      </c>
      <c r="BZ58" s="30">
        <v>1</v>
      </c>
      <c r="CA58" s="30">
        <v>1</v>
      </c>
      <c r="CB58" s="30">
        <v>1</v>
      </c>
      <c r="CC58" s="30">
        <v>1</v>
      </c>
      <c r="CD58" s="30">
        <v>1</v>
      </c>
      <c r="CE58" s="30">
        <v>1</v>
      </c>
      <c r="CF58" s="30">
        <v>1</v>
      </c>
      <c r="CG58" s="30">
        <v>1</v>
      </c>
      <c r="CH58" s="30">
        <v>1</v>
      </c>
      <c r="CI58" s="30">
        <v>1</v>
      </c>
      <c r="CJ58" s="30">
        <v>1</v>
      </c>
      <c r="CK58" s="30">
        <v>1</v>
      </c>
      <c r="CL58" s="30">
        <v>1</v>
      </c>
      <c r="CM58" s="30">
        <v>1</v>
      </c>
      <c r="CN58" s="30">
        <v>1</v>
      </c>
      <c r="CO58" s="30">
        <v>1</v>
      </c>
      <c r="CP58" s="30">
        <v>1</v>
      </c>
      <c r="CQ58" s="30">
        <v>1</v>
      </c>
      <c r="CR58" s="30">
        <v>1</v>
      </c>
      <c r="CS58" s="30">
        <v>1</v>
      </c>
      <c r="CT58" s="30">
        <v>1</v>
      </c>
      <c r="CU58" s="30">
        <v>1</v>
      </c>
      <c r="CV58" s="30">
        <v>1</v>
      </c>
      <c r="CW58" s="30">
        <v>1</v>
      </c>
      <c r="CX58" s="30">
        <v>1</v>
      </c>
      <c r="CY58" s="30">
        <v>1</v>
      </c>
      <c r="CZ58" s="30">
        <v>1</v>
      </c>
      <c r="DA58" s="30">
        <v>1</v>
      </c>
    </row>
    <row r="59" spans="1:105" x14ac:dyDescent="0.3">
      <c r="A59" s="34" t="str">
        <f t="shared" si="2"/>
        <v>Baddi - E4CDM RA Small</v>
      </c>
      <c r="B59" s="27" t="s">
        <v>83</v>
      </c>
      <c r="C59" s="20" t="s">
        <v>7</v>
      </c>
      <c r="D59" s="19" t="s">
        <v>80</v>
      </c>
      <c r="E59" s="18" t="s">
        <v>8</v>
      </c>
      <c r="F59" s="30">
        <v>8</v>
      </c>
      <c r="G59" s="30">
        <v>3</v>
      </c>
      <c r="H59" s="30">
        <v>30</v>
      </c>
      <c r="I59" s="41"/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>
        <v>1458.3333333333333</v>
      </c>
      <c r="AD59" s="21">
        <v>1458.3333333333333</v>
      </c>
      <c r="AE59" s="21">
        <v>1458.3333333333333</v>
      </c>
      <c r="AF59" s="21">
        <v>1458.3333333333333</v>
      </c>
      <c r="AG59" s="21">
        <v>1458.3333333333333</v>
      </c>
      <c r="AH59" s="21">
        <v>1458.3333333333333</v>
      </c>
      <c r="AI59" s="21"/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30">
        <v>1</v>
      </c>
      <c r="BG59" s="30">
        <v>1</v>
      </c>
      <c r="BH59" s="30">
        <v>1</v>
      </c>
      <c r="BI59" s="30">
        <v>1</v>
      </c>
      <c r="BJ59" s="30">
        <v>1</v>
      </c>
      <c r="BK59" s="30">
        <v>1</v>
      </c>
      <c r="BL59" s="30">
        <v>1</v>
      </c>
      <c r="BM59" s="30">
        <v>1</v>
      </c>
      <c r="BN59" s="30">
        <v>1</v>
      </c>
      <c r="BO59" s="30">
        <v>1</v>
      </c>
      <c r="BP59" s="30">
        <v>1</v>
      </c>
      <c r="BQ59" s="30">
        <v>1</v>
      </c>
      <c r="BR59" s="30">
        <v>1</v>
      </c>
      <c r="BS59" s="30">
        <v>1</v>
      </c>
      <c r="BT59" s="30">
        <v>1</v>
      </c>
      <c r="BU59" s="30">
        <v>1</v>
      </c>
      <c r="BV59" s="30">
        <v>1</v>
      </c>
      <c r="BW59" s="30">
        <v>1</v>
      </c>
      <c r="BX59" s="30">
        <v>1</v>
      </c>
      <c r="BY59" s="30">
        <v>1</v>
      </c>
      <c r="BZ59" s="30">
        <v>1</v>
      </c>
      <c r="CA59" s="30">
        <v>1</v>
      </c>
      <c r="CB59" s="30">
        <v>1</v>
      </c>
      <c r="CC59" s="30">
        <v>1</v>
      </c>
      <c r="CD59" s="30">
        <v>1</v>
      </c>
      <c r="CE59" s="30">
        <v>1</v>
      </c>
      <c r="CF59" s="30">
        <v>1</v>
      </c>
      <c r="CG59" s="30">
        <v>1</v>
      </c>
      <c r="CH59" s="30">
        <v>1</v>
      </c>
      <c r="CI59" s="30">
        <v>1</v>
      </c>
      <c r="CJ59" s="30">
        <v>1</v>
      </c>
      <c r="CK59" s="30">
        <v>1</v>
      </c>
      <c r="CL59" s="30">
        <v>1</v>
      </c>
      <c r="CM59" s="30">
        <v>1</v>
      </c>
      <c r="CN59" s="30">
        <v>1</v>
      </c>
      <c r="CO59" s="30">
        <v>1</v>
      </c>
      <c r="CP59" s="30">
        <v>1</v>
      </c>
      <c r="CQ59" s="30">
        <v>1</v>
      </c>
      <c r="CR59" s="30">
        <v>1</v>
      </c>
      <c r="CS59" s="30">
        <v>1</v>
      </c>
      <c r="CT59" s="30">
        <v>1</v>
      </c>
      <c r="CU59" s="30">
        <v>1</v>
      </c>
      <c r="CV59" s="30">
        <v>1</v>
      </c>
      <c r="CW59" s="30">
        <v>1</v>
      </c>
      <c r="CX59" s="30">
        <v>1</v>
      </c>
      <c r="CY59" s="30">
        <v>1</v>
      </c>
      <c r="CZ59" s="30">
        <v>1</v>
      </c>
      <c r="DA59" s="30">
        <v>1</v>
      </c>
    </row>
    <row r="60" spans="1:105" x14ac:dyDescent="0.3">
      <c r="A60" s="34" t="str">
        <f t="shared" si="2"/>
        <v>Sricity - LOFCDM RA Small</v>
      </c>
      <c r="B60" s="20" t="s">
        <v>81</v>
      </c>
      <c r="C60" s="20" t="s">
        <v>19</v>
      </c>
      <c r="D60" s="19" t="s">
        <v>80</v>
      </c>
      <c r="E60" s="18" t="s">
        <v>8</v>
      </c>
      <c r="F60" s="30">
        <v>2</v>
      </c>
      <c r="G60" s="30">
        <v>3</v>
      </c>
      <c r="H60" s="30">
        <v>30</v>
      </c>
      <c r="I60" s="41"/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>
        <v>1458.3333333333333</v>
      </c>
      <c r="AD60" s="21">
        <v>1458.3333333333333</v>
      </c>
      <c r="AE60" s="21">
        <v>1458.3333333333333</v>
      </c>
      <c r="AF60" s="21">
        <v>1458.3333333333333</v>
      </c>
      <c r="AG60" s="21">
        <v>1458.3333333333333</v>
      </c>
      <c r="AH60" s="21">
        <v>1458.3333333333333</v>
      </c>
      <c r="AI60" s="21"/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30">
        <v>1</v>
      </c>
      <c r="BG60" s="30">
        <v>1</v>
      </c>
      <c r="BH60" s="30">
        <v>1</v>
      </c>
      <c r="BI60" s="30">
        <v>1</v>
      </c>
      <c r="BJ60" s="30">
        <v>1</v>
      </c>
      <c r="BK60" s="30">
        <v>1</v>
      </c>
      <c r="BL60" s="30">
        <v>1</v>
      </c>
      <c r="BM60" s="30">
        <v>1</v>
      </c>
      <c r="BN60" s="30">
        <v>1</v>
      </c>
      <c r="BO60" s="30">
        <v>1</v>
      </c>
      <c r="BP60" s="30">
        <v>1</v>
      </c>
      <c r="BQ60" s="30">
        <v>1</v>
      </c>
      <c r="BR60" s="30">
        <v>1</v>
      </c>
      <c r="BS60" s="30">
        <v>1</v>
      </c>
      <c r="BT60" s="30">
        <v>1</v>
      </c>
      <c r="BU60" s="30">
        <v>1</v>
      </c>
      <c r="BV60" s="30">
        <v>1</v>
      </c>
      <c r="BW60" s="30">
        <v>1</v>
      </c>
      <c r="BX60" s="30">
        <v>1</v>
      </c>
      <c r="BY60" s="30">
        <v>1</v>
      </c>
      <c r="BZ60" s="30">
        <v>1</v>
      </c>
      <c r="CA60" s="30">
        <v>1</v>
      </c>
      <c r="CB60" s="30">
        <v>1</v>
      </c>
      <c r="CC60" s="30">
        <v>1</v>
      </c>
      <c r="CD60" s="30">
        <v>1</v>
      </c>
      <c r="CE60" s="30">
        <v>1</v>
      </c>
      <c r="CF60" s="30">
        <v>1</v>
      </c>
      <c r="CG60" s="30">
        <v>1</v>
      </c>
      <c r="CH60" s="30">
        <v>1</v>
      </c>
      <c r="CI60" s="30">
        <v>1</v>
      </c>
      <c r="CJ60" s="30">
        <v>1</v>
      </c>
      <c r="CK60" s="30">
        <v>1</v>
      </c>
      <c r="CL60" s="30">
        <v>1</v>
      </c>
      <c r="CM60" s="30">
        <v>1</v>
      </c>
      <c r="CN60" s="30">
        <v>1</v>
      </c>
      <c r="CO60" s="30">
        <v>1</v>
      </c>
      <c r="CP60" s="30">
        <v>1</v>
      </c>
      <c r="CQ60" s="30">
        <v>1</v>
      </c>
      <c r="CR60" s="30">
        <v>1</v>
      </c>
      <c r="CS60" s="30">
        <v>1</v>
      </c>
      <c r="CT60" s="30">
        <v>1</v>
      </c>
      <c r="CU60" s="30">
        <v>1</v>
      </c>
      <c r="CV60" s="30">
        <v>1</v>
      </c>
      <c r="CW60" s="30">
        <v>1</v>
      </c>
      <c r="CX60" s="30">
        <v>1</v>
      </c>
      <c r="CY60" s="30">
        <v>1</v>
      </c>
      <c r="CZ60" s="30">
        <v>1</v>
      </c>
      <c r="DA60" s="30">
        <v>1</v>
      </c>
    </row>
    <row r="61" spans="1:105" x14ac:dyDescent="0.3">
      <c r="A61" s="34" t="str">
        <f t="shared" si="2"/>
        <v>Induri - MLCDM RA Small</v>
      </c>
      <c r="B61" s="20" t="s">
        <v>82</v>
      </c>
      <c r="C61" s="20" t="s">
        <v>9</v>
      </c>
      <c r="D61" s="19" t="s">
        <v>80</v>
      </c>
      <c r="E61" s="18" t="s">
        <v>8</v>
      </c>
      <c r="F61" s="30">
        <v>3</v>
      </c>
      <c r="G61" s="30">
        <v>2</v>
      </c>
      <c r="H61" s="30">
        <v>30</v>
      </c>
      <c r="I61" s="41"/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>
        <v>1458.3333333333333</v>
      </c>
      <c r="AD61" s="21">
        <v>1458.3333333333333</v>
      </c>
      <c r="AE61" s="21">
        <v>1458.3333333333333</v>
      </c>
      <c r="AF61" s="21">
        <v>1458.3333333333333</v>
      </c>
      <c r="AG61" s="21">
        <v>1458.3333333333333</v>
      </c>
      <c r="AH61" s="21">
        <v>1458.3333333333333</v>
      </c>
      <c r="AI61" s="21"/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30">
        <v>1</v>
      </c>
      <c r="BG61" s="30">
        <v>1</v>
      </c>
      <c r="BH61" s="30">
        <v>1</v>
      </c>
      <c r="BI61" s="30">
        <v>1</v>
      </c>
      <c r="BJ61" s="30">
        <v>1</v>
      </c>
      <c r="BK61" s="30">
        <v>1</v>
      </c>
      <c r="BL61" s="30">
        <v>1</v>
      </c>
      <c r="BM61" s="30">
        <v>1</v>
      </c>
      <c r="BN61" s="30">
        <v>1</v>
      </c>
      <c r="BO61" s="30">
        <v>1</v>
      </c>
      <c r="BP61" s="30">
        <v>1</v>
      </c>
      <c r="BQ61" s="30">
        <v>1</v>
      </c>
      <c r="BR61" s="30">
        <v>1</v>
      </c>
      <c r="BS61" s="30">
        <v>1</v>
      </c>
      <c r="BT61" s="30">
        <v>1</v>
      </c>
      <c r="BU61" s="30">
        <v>1</v>
      </c>
      <c r="BV61" s="30">
        <v>1</v>
      </c>
      <c r="BW61" s="30">
        <v>1</v>
      </c>
      <c r="BX61" s="30">
        <v>1</v>
      </c>
      <c r="BY61" s="30">
        <v>1</v>
      </c>
      <c r="BZ61" s="30">
        <v>1</v>
      </c>
      <c r="CA61" s="30">
        <v>1</v>
      </c>
      <c r="CB61" s="30">
        <v>1</v>
      </c>
      <c r="CC61" s="30">
        <v>1</v>
      </c>
      <c r="CD61" s="30">
        <v>1</v>
      </c>
      <c r="CE61" s="30">
        <v>1</v>
      </c>
      <c r="CF61" s="30">
        <v>1</v>
      </c>
      <c r="CG61" s="30">
        <v>1</v>
      </c>
      <c r="CH61" s="30">
        <v>1</v>
      </c>
      <c r="CI61" s="30">
        <v>1</v>
      </c>
      <c r="CJ61" s="30">
        <v>1</v>
      </c>
      <c r="CK61" s="30">
        <v>1</v>
      </c>
      <c r="CL61" s="30">
        <v>1</v>
      </c>
      <c r="CM61" s="30">
        <v>1</v>
      </c>
      <c r="CN61" s="30">
        <v>1</v>
      </c>
      <c r="CO61" s="30">
        <v>1</v>
      </c>
      <c r="CP61" s="30">
        <v>1</v>
      </c>
      <c r="CQ61" s="30">
        <v>1</v>
      </c>
      <c r="CR61" s="30">
        <v>1</v>
      </c>
      <c r="CS61" s="30">
        <v>1</v>
      </c>
      <c r="CT61" s="30">
        <v>1</v>
      </c>
      <c r="CU61" s="30">
        <v>1</v>
      </c>
      <c r="CV61" s="30">
        <v>1</v>
      </c>
      <c r="CW61" s="30">
        <v>1</v>
      </c>
      <c r="CX61" s="30">
        <v>1</v>
      </c>
      <c r="CY61" s="30">
        <v>1</v>
      </c>
      <c r="CZ61" s="30">
        <v>1</v>
      </c>
      <c r="DA61" s="30">
        <v>1</v>
      </c>
    </row>
    <row r="62" spans="1:105" x14ac:dyDescent="0.3">
      <c r="A62" s="34" t="str">
        <f t="shared" si="2"/>
        <v>Induri - MLCDM Mocha Almond</v>
      </c>
      <c r="B62" s="20" t="s">
        <v>82</v>
      </c>
      <c r="C62" s="20" t="s">
        <v>9</v>
      </c>
      <c r="D62" s="19" t="s">
        <v>80</v>
      </c>
      <c r="E62" s="18" t="s">
        <v>247</v>
      </c>
      <c r="F62" s="30">
        <v>5</v>
      </c>
      <c r="G62" s="30">
        <v>2</v>
      </c>
      <c r="H62" s="30"/>
      <c r="I62" s="4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>
        <v>625</v>
      </c>
      <c r="AD62" s="21">
        <v>625</v>
      </c>
      <c r="AE62" s="21">
        <v>625</v>
      </c>
      <c r="AF62" s="21">
        <v>625</v>
      </c>
      <c r="AG62" s="21">
        <v>625</v>
      </c>
      <c r="AH62" s="21">
        <v>625</v>
      </c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30">
        <v>1</v>
      </c>
      <c r="BG62" s="30">
        <v>1</v>
      </c>
      <c r="BH62" s="30">
        <v>1</v>
      </c>
      <c r="BI62" s="30">
        <v>1</v>
      </c>
      <c r="BJ62" s="30">
        <v>1</v>
      </c>
      <c r="BK62" s="30">
        <v>1</v>
      </c>
      <c r="BL62" s="30">
        <v>1</v>
      </c>
      <c r="BM62" s="30">
        <v>1</v>
      </c>
      <c r="BN62" s="30">
        <v>1</v>
      </c>
      <c r="BO62" s="30">
        <v>1</v>
      </c>
      <c r="BP62" s="30">
        <v>1</v>
      </c>
      <c r="BQ62" s="30">
        <v>1</v>
      </c>
      <c r="BR62" s="30">
        <v>1</v>
      </c>
      <c r="BS62" s="30">
        <v>1</v>
      </c>
      <c r="BT62" s="30">
        <v>1</v>
      </c>
      <c r="BU62" s="30">
        <v>1</v>
      </c>
      <c r="BV62" s="30">
        <v>1</v>
      </c>
      <c r="BW62" s="30">
        <v>1</v>
      </c>
      <c r="BX62" s="30">
        <v>1</v>
      </c>
      <c r="BY62" s="30">
        <v>1</v>
      </c>
      <c r="BZ62" s="30">
        <v>1</v>
      </c>
      <c r="CA62" s="30">
        <v>1</v>
      </c>
      <c r="CB62" s="30">
        <v>1</v>
      </c>
      <c r="CC62" s="30">
        <v>1</v>
      </c>
      <c r="CD62" s="30">
        <v>1</v>
      </c>
      <c r="CE62" s="30">
        <v>1</v>
      </c>
      <c r="CF62" s="30">
        <v>1</v>
      </c>
      <c r="CG62" s="30">
        <v>1</v>
      </c>
      <c r="CH62" s="30">
        <v>1</v>
      </c>
      <c r="CI62" s="30">
        <v>1</v>
      </c>
      <c r="CJ62" s="30">
        <v>1</v>
      </c>
      <c r="CK62" s="30">
        <v>1</v>
      </c>
      <c r="CL62" s="30">
        <v>1</v>
      </c>
      <c r="CM62" s="30">
        <v>1</v>
      </c>
      <c r="CN62" s="30">
        <v>1</v>
      </c>
      <c r="CO62" s="30">
        <v>1</v>
      </c>
      <c r="CP62" s="30">
        <v>1</v>
      </c>
      <c r="CQ62" s="30">
        <v>1</v>
      </c>
      <c r="CR62" s="30">
        <v>1</v>
      </c>
      <c r="CS62" s="30">
        <v>1</v>
      </c>
      <c r="CT62" s="30">
        <v>1</v>
      </c>
      <c r="CU62" s="30">
        <v>1</v>
      </c>
      <c r="CV62" s="30">
        <v>1</v>
      </c>
      <c r="CW62" s="30">
        <v>1</v>
      </c>
      <c r="CX62" s="30">
        <v>1</v>
      </c>
      <c r="CY62" s="30">
        <v>1</v>
      </c>
      <c r="CZ62" s="30">
        <v>1</v>
      </c>
      <c r="DA62" s="30">
        <v>1</v>
      </c>
    </row>
    <row r="63" spans="1:105" x14ac:dyDescent="0.3">
      <c r="A63" s="34" t="str">
        <f t="shared" si="2"/>
        <v>Makson - SCDM TARTE LA ORANGE 78G</v>
      </c>
      <c r="B63" s="20" t="s">
        <v>216</v>
      </c>
      <c r="C63" s="20" t="s">
        <v>5</v>
      </c>
      <c r="D63" s="19" t="s">
        <v>222</v>
      </c>
      <c r="E63" s="18" t="s">
        <v>228</v>
      </c>
      <c r="F63" s="30">
        <v>1</v>
      </c>
      <c r="G63" s="30">
        <v>3</v>
      </c>
      <c r="H63" s="30">
        <v>30</v>
      </c>
      <c r="I63" s="41"/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/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30">
        <v>1</v>
      </c>
      <c r="BG63" s="30">
        <v>1</v>
      </c>
      <c r="BH63" s="30">
        <v>1</v>
      </c>
      <c r="BI63" s="30">
        <v>1</v>
      </c>
      <c r="BJ63" s="30">
        <v>1</v>
      </c>
      <c r="BK63" s="30">
        <v>1</v>
      </c>
      <c r="BL63" s="30">
        <v>1</v>
      </c>
      <c r="BM63" s="30">
        <v>1</v>
      </c>
      <c r="BN63" s="30">
        <v>1</v>
      </c>
      <c r="BO63" s="30">
        <v>1</v>
      </c>
      <c r="BP63" s="30">
        <v>1</v>
      </c>
      <c r="BQ63" s="30">
        <v>1</v>
      </c>
      <c r="BR63" s="30">
        <v>1</v>
      </c>
      <c r="BS63" s="30">
        <v>1</v>
      </c>
      <c r="BT63" s="30">
        <v>1</v>
      </c>
      <c r="BU63" s="30">
        <v>1</v>
      </c>
      <c r="BV63" s="30">
        <v>1</v>
      </c>
      <c r="BW63" s="30">
        <v>1</v>
      </c>
      <c r="BX63" s="30">
        <v>1</v>
      </c>
      <c r="BY63" s="30">
        <v>1</v>
      </c>
      <c r="BZ63" s="30">
        <v>1</v>
      </c>
      <c r="CA63" s="30">
        <v>1</v>
      </c>
      <c r="CB63" s="30">
        <v>1</v>
      </c>
      <c r="CC63" s="30">
        <v>1</v>
      </c>
      <c r="CD63" s="30">
        <v>1</v>
      </c>
      <c r="CE63" s="30">
        <v>1</v>
      </c>
      <c r="CF63" s="30">
        <v>1</v>
      </c>
      <c r="CG63" s="30">
        <v>1</v>
      </c>
      <c r="CH63" s="30">
        <v>1</v>
      </c>
      <c r="CI63" s="30">
        <v>1</v>
      </c>
      <c r="CJ63" s="30">
        <v>1</v>
      </c>
      <c r="CK63" s="30">
        <v>1</v>
      </c>
      <c r="CL63" s="30">
        <v>1</v>
      </c>
      <c r="CM63" s="30">
        <v>1</v>
      </c>
      <c r="CN63" s="30">
        <v>1</v>
      </c>
      <c r="CO63" s="30">
        <v>1</v>
      </c>
      <c r="CP63" s="30">
        <v>1</v>
      </c>
      <c r="CQ63" s="30">
        <v>1</v>
      </c>
      <c r="CR63" s="30">
        <v>1</v>
      </c>
      <c r="CS63" s="30">
        <v>1</v>
      </c>
      <c r="CT63" s="30">
        <v>1</v>
      </c>
      <c r="CU63" s="30">
        <v>1</v>
      </c>
      <c r="CV63" s="30">
        <v>1</v>
      </c>
      <c r="CW63" s="30">
        <v>1</v>
      </c>
      <c r="CX63" s="30">
        <v>1</v>
      </c>
      <c r="CY63" s="30">
        <v>1</v>
      </c>
      <c r="CZ63" s="30">
        <v>1</v>
      </c>
      <c r="DA63" s="30">
        <v>1</v>
      </c>
    </row>
    <row r="64" spans="1:105" x14ac:dyDescent="0.3">
      <c r="A64" s="34" t="str">
        <f t="shared" si="2"/>
        <v>Makson - SCranberry Large</v>
      </c>
      <c r="B64" s="20" t="s">
        <v>216</v>
      </c>
      <c r="C64" s="20" t="s">
        <v>5</v>
      </c>
      <c r="D64" s="19" t="s">
        <v>217</v>
      </c>
      <c r="E64" s="18" t="s">
        <v>76</v>
      </c>
      <c r="F64" s="30">
        <v>1</v>
      </c>
      <c r="G64" s="30">
        <v>2</v>
      </c>
      <c r="H64" s="30">
        <v>30</v>
      </c>
      <c r="I64" s="41"/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>
        <v>500</v>
      </c>
      <c r="AD64" s="21">
        <v>500</v>
      </c>
      <c r="AE64" s="21">
        <v>500</v>
      </c>
      <c r="AF64" s="21">
        <v>500</v>
      </c>
      <c r="AG64" s="21">
        <v>500</v>
      </c>
      <c r="AH64" s="21">
        <v>500</v>
      </c>
      <c r="AI64" s="21"/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30">
        <v>1</v>
      </c>
      <c r="BG64" s="30">
        <v>1</v>
      </c>
      <c r="BH64" s="30">
        <v>1</v>
      </c>
      <c r="BI64" s="30">
        <v>1</v>
      </c>
      <c r="BJ64" s="30">
        <v>1</v>
      </c>
      <c r="BK64" s="30">
        <v>1</v>
      </c>
      <c r="BL64" s="30">
        <v>1</v>
      </c>
      <c r="BM64" s="30">
        <v>1</v>
      </c>
      <c r="BN64" s="30">
        <v>1</v>
      </c>
      <c r="BO64" s="30">
        <v>1</v>
      </c>
      <c r="BP64" s="30">
        <v>1</v>
      </c>
      <c r="BQ64" s="30">
        <v>1</v>
      </c>
      <c r="BR64" s="30">
        <v>1</v>
      </c>
      <c r="BS64" s="30">
        <v>1</v>
      </c>
      <c r="BT64" s="30">
        <v>1</v>
      </c>
      <c r="BU64" s="30">
        <v>1</v>
      </c>
      <c r="BV64" s="30">
        <v>1</v>
      </c>
      <c r="BW64" s="30">
        <v>1</v>
      </c>
      <c r="BX64" s="30">
        <v>1</v>
      </c>
      <c r="BY64" s="30">
        <v>1</v>
      </c>
      <c r="BZ64" s="30">
        <v>1</v>
      </c>
      <c r="CA64" s="30">
        <v>1</v>
      </c>
      <c r="CB64" s="30">
        <v>1</v>
      </c>
      <c r="CC64" s="30">
        <v>1</v>
      </c>
      <c r="CD64" s="30">
        <v>1</v>
      </c>
      <c r="CE64" s="30">
        <v>1</v>
      </c>
      <c r="CF64" s="30">
        <v>1</v>
      </c>
      <c r="CG64" s="30">
        <v>1</v>
      </c>
      <c r="CH64" s="30">
        <v>1</v>
      </c>
      <c r="CI64" s="30">
        <v>1</v>
      </c>
      <c r="CJ64" s="30">
        <v>1</v>
      </c>
      <c r="CK64" s="30">
        <v>1</v>
      </c>
      <c r="CL64" s="30">
        <v>1</v>
      </c>
      <c r="CM64" s="30">
        <v>1</v>
      </c>
      <c r="CN64" s="30">
        <v>1</v>
      </c>
      <c r="CO64" s="30">
        <v>1</v>
      </c>
      <c r="CP64" s="30">
        <v>1</v>
      </c>
      <c r="CQ64" s="30">
        <v>1</v>
      </c>
      <c r="CR64" s="30">
        <v>1</v>
      </c>
      <c r="CS64" s="30">
        <v>1</v>
      </c>
      <c r="CT64" s="30">
        <v>1</v>
      </c>
      <c r="CU64" s="30">
        <v>1</v>
      </c>
      <c r="CV64" s="30">
        <v>1</v>
      </c>
      <c r="CW64" s="30">
        <v>1</v>
      </c>
      <c r="CX64" s="30">
        <v>1</v>
      </c>
      <c r="CY64" s="30">
        <v>1</v>
      </c>
      <c r="CZ64" s="30">
        <v>1</v>
      </c>
      <c r="DA64" s="30">
        <v>1</v>
      </c>
    </row>
    <row r="65" spans="1:105" x14ac:dyDescent="0.3">
      <c r="A65" s="34" t="str">
        <f t="shared" si="2"/>
        <v>Sricity - ULCrispello 10</v>
      </c>
      <c r="B65" s="20" t="s">
        <v>81</v>
      </c>
      <c r="C65" s="20" t="s">
        <v>18</v>
      </c>
      <c r="D65" s="19" t="s">
        <v>229</v>
      </c>
      <c r="E65" s="18" t="s">
        <v>33</v>
      </c>
      <c r="F65" s="30">
        <v>1</v>
      </c>
      <c r="G65" s="30">
        <v>1</v>
      </c>
      <c r="H65" s="30">
        <v>30</v>
      </c>
      <c r="I65" s="41"/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>
        <v>994.23076923076917</v>
      </c>
      <c r="AD65" s="21">
        <v>994.23076923076917</v>
      </c>
      <c r="AE65" s="21">
        <v>1062.5</v>
      </c>
      <c r="AF65" s="21">
        <v>1062.5</v>
      </c>
      <c r="AG65" s="21">
        <v>1062.5</v>
      </c>
      <c r="AH65" s="21">
        <v>1145.8333333333333</v>
      </c>
      <c r="AI65" s="21"/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30">
        <v>1</v>
      </c>
      <c r="BG65" s="30">
        <v>1</v>
      </c>
      <c r="BH65" s="30">
        <v>1</v>
      </c>
      <c r="BI65" s="30">
        <v>1</v>
      </c>
      <c r="BJ65" s="30">
        <v>1</v>
      </c>
      <c r="BK65" s="30">
        <v>1</v>
      </c>
      <c r="BL65" s="30">
        <v>1</v>
      </c>
      <c r="BM65" s="30">
        <v>1</v>
      </c>
      <c r="BN65" s="30">
        <v>1</v>
      </c>
      <c r="BO65" s="30">
        <v>1</v>
      </c>
      <c r="BP65" s="30">
        <v>1</v>
      </c>
      <c r="BQ65" s="30">
        <v>1</v>
      </c>
      <c r="BR65" s="30">
        <v>1</v>
      </c>
      <c r="BS65" s="30">
        <v>1</v>
      </c>
      <c r="BT65" s="30">
        <v>1</v>
      </c>
      <c r="BU65" s="30">
        <v>1</v>
      </c>
      <c r="BV65" s="30">
        <v>1</v>
      </c>
      <c r="BW65" s="30">
        <v>1</v>
      </c>
      <c r="BX65" s="30">
        <v>1</v>
      </c>
      <c r="BY65" s="30">
        <v>1</v>
      </c>
      <c r="BZ65" s="30">
        <v>1</v>
      </c>
      <c r="CA65" s="30">
        <v>1</v>
      </c>
      <c r="CB65" s="30">
        <v>1</v>
      </c>
      <c r="CC65" s="30">
        <v>1</v>
      </c>
      <c r="CD65" s="30">
        <v>1</v>
      </c>
      <c r="CE65" s="30">
        <v>1</v>
      </c>
      <c r="CF65" s="30">
        <v>1</v>
      </c>
      <c r="CG65" s="30">
        <v>1</v>
      </c>
      <c r="CH65" s="30">
        <v>1</v>
      </c>
      <c r="CI65" s="30">
        <v>1</v>
      </c>
      <c r="CJ65" s="30">
        <v>1</v>
      </c>
      <c r="CK65" s="30">
        <v>1</v>
      </c>
      <c r="CL65" s="30">
        <v>1</v>
      </c>
      <c r="CM65" s="30">
        <v>1</v>
      </c>
      <c r="CN65" s="30">
        <v>1</v>
      </c>
      <c r="CO65" s="30">
        <v>1</v>
      </c>
      <c r="CP65" s="30">
        <v>1</v>
      </c>
      <c r="CQ65" s="30">
        <v>1</v>
      </c>
      <c r="CR65" s="30">
        <v>1</v>
      </c>
      <c r="CS65" s="30">
        <v>1</v>
      </c>
      <c r="CT65" s="30">
        <v>1</v>
      </c>
      <c r="CU65" s="30">
        <v>1</v>
      </c>
      <c r="CV65" s="30">
        <v>1</v>
      </c>
      <c r="CW65" s="30">
        <v>1</v>
      </c>
      <c r="CX65" s="30">
        <v>1</v>
      </c>
      <c r="CY65" s="30">
        <v>1</v>
      </c>
      <c r="CZ65" s="30">
        <v>1</v>
      </c>
      <c r="DA65" s="30">
        <v>1</v>
      </c>
    </row>
    <row r="66" spans="1:105" x14ac:dyDescent="0.3">
      <c r="A66" s="34" t="str">
        <f>C66&amp;E66</f>
        <v>Sricity - ULCrispello 20</v>
      </c>
      <c r="B66" s="20" t="s">
        <v>81</v>
      </c>
      <c r="C66" s="20" t="s">
        <v>18</v>
      </c>
      <c r="D66" s="19" t="s">
        <v>229</v>
      </c>
      <c r="E66" s="18" t="s">
        <v>35</v>
      </c>
      <c r="F66" s="30">
        <v>2</v>
      </c>
      <c r="G66" s="30">
        <v>1</v>
      </c>
      <c r="H66" s="30"/>
      <c r="I66" s="4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>
        <v>1104.1666666666667</v>
      </c>
      <c r="AD66" s="21">
        <v>1104.1666666666667</v>
      </c>
      <c r="AE66" s="21">
        <v>1104.1666666666667</v>
      </c>
      <c r="AF66" s="21">
        <v>1104.1666666666667</v>
      </c>
      <c r="AG66" s="21">
        <v>1104.1666666666667</v>
      </c>
      <c r="AH66" s="21">
        <v>1104.1666666666667</v>
      </c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30">
        <v>1</v>
      </c>
      <c r="BG66" s="30">
        <v>1</v>
      </c>
      <c r="BH66" s="30">
        <v>1</v>
      </c>
      <c r="BI66" s="30">
        <v>1</v>
      </c>
      <c r="BJ66" s="30">
        <v>1</v>
      </c>
      <c r="BK66" s="30">
        <v>1</v>
      </c>
      <c r="BL66" s="30">
        <v>1</v>
      </c>
      <c r="BM66" s="30">
        <v>1</v>
      </c>
      <c r="BN66" s="30">
        <v>1</v>
      </c>
      <c r="BO66" s="30">
        <v>1</v>
      </c>
      <c r="BP66" s="30">
        <v>1</v>
      </c>
      <c r="BQ66" s="30">
        <v>1</v>
      </c>
      <c r="BR66" s="30">
        <v>1</v>
      </c>
      <c r="BS66" s="30">
        <v>1</v>
      </c>
      <c r="BT66" s="30">
        <v>1</v>
      </c>
      <c r="BU66" s="30">
        <v>1</v>
      </c>
      <c r="BV66" s="30">
        <v>1</v>
      </c>
      <c r="BW66" s="30">
        <v>1</v>
      </c>
      <c r="BX66" s="30">
        <v>1</v>
      </c>
      <c r="BY66" s="30">
        <v>1</v>
      </c>
      <c r="BZ66" s="30">
        <v>1</v>
      </c>
      <c r="CA66" s="30">
        <v>1</v>
      </c>
      <c r="CB66" s="30">
        <v>1</v>
      </c>
      <c r="CC66" s="30">
        <v>1</v>
      </c>
      <c r="CD66" s="30">
        <v>1</v>
      </c>
      <c r="CE66" s="30">
        <v>1</v>
      </c>
      <c r="CF66" s="30">
        <v>1</v>
      </c>
      <c r="CG66" s="30">
        <v>1</v>
      </c>
      <c r="CH66" s="30">
        <v>1</v>
      </c>
      <c r="CI66" s="30">
        <v>1</v>
      </c>
      <c r="CJ66" s="30">
        <v>1</v>
      </c>
      <c r="CK66" s="30">
        <v>1</v>
      </c>
      <c r="CL66" s="30">
        <v>1</v>
      </c>
      <c r="CM66" s="30">
        <v>1</v>
      </c>
      <c r="CN66" s="30">
        <v>1</v>
      </c>
      <c r="CO66" s="30">
        <v>1</v>
      </c>
      <c r="CP66" s="30">
        <v>1</v>
      </c>
      <c r="CQ66" s="30">
        <v>1</v>
      </c>
      <c r="CR66" s="30">
        <v>1</v>
      </c>
      <c r="CS66" s="30">
        <v>1</v>
      </c>
      <c r="CT66" s="30">
        <v>1</v>
      </c>
      <c r="CU66" s="30">
        <v>1</v>
      </c>
      <c r="CV66" s="30">
        <v>1</v>
      </c>
      <c r="CW66" s="30">
        <v>1</v>
      </c>
      <c r="CX66" s="30">
        <v>1</v>
      </c>
      <c r="CY66" s="30">
        <v>1</v>
      </c>
      <c r="CZ66" s="30">
        <v>1</v>
      </c>
      <c r="DA66" s="30">
        <v>1</v>
      </c>
    </row>
    <row r="67" spans="1:105" x14ac:dyDescent="0.3">
      <c r="A67" s="34" t="str">
        <f t="shared" si="2"/>
        <v>Sricity - ULCrispello 35</v>
      </c>
      <c r="B67" s="20" t="s">
        <v>81</v>
      </c>
      <c r="C67" s="20" t="s">
        <v>18</v>
      </c>
      <c r="D67" s="19" t="s">
        <v>229</v>
      </c>
      <c r="E67" s="18" t="s">
        <v>34</v>
      </c>
      <c r="F67" s="30">
        <v>3</v>
      </c>
      <c r="G67" s="30">
        <v>4</v>
      </c>
      <c r="H67" s="30">
        <v>30</v>
      </c>
      <c r="I67" s="41"/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>
        <v>1541.6666666666667</v>
      </c>
      <c r="AD67" s="21">
        <v>1541.6666666666667</v>
      </c>
      <c r="AE67" s="21">
        <v>1541.6666666666667</v>
      </c>
      <c r="AF67" s="21">
        <v>1541.6666666666667</v>
      </c>
      <c r="AG67" s="21">
        <v>1541.6666666666667</v>
      </c>
      <c r="AH67" s="21">
        <v>1625</v>
      </c>
      <c r="AI67" s="21"/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30">
        <v>1</v>
      </c>
      <c r="BG67" s="30">
        <v>1</v>
      </c>
      <c r="BH67" s="30">
        <v>1</v>
      </c>
      <c r="BI67" s="30">
        <v>1</v>
      </c>
      <c r="BJ67" s="30">
        <v>1</v>
      </c>
      <c r="BK67" s="30">
        <v>1</v>
      </c>
      <c r="BL67" s="30">
        <v>1</v>
      </c>
      <c r="BM67" s="30">
        <v>1</v>
      </c>
      <c r="BN67" s="30">
        <v>1</v>
      </c>
      <c r="BO67" s="30">
        <v>1</v>
      </c>
      <c r="BP67" s="30">
        <v>1</v>
      </c>
      <c r="BQ67" s="30">
        <v>1</v>
      </c>
      <c r="BR67" s="30">
        <v>1</v>
      </c>
      <c r="BS67" s="30">
        <v>1</v>
      </c>
      <c r="BT67" s="30">
        <v>1</v>
      </c>
      <c r="BU67" s="30">
        <v>1</v>
      </c>
      <c r="BV67" s="30">
        <v>1</v>
      </c>
      <c r="BW67" s="30">
        <v>1</v>
      </c>
      <c r="BX67" s="30">
        <v>1</v>
      </c>
      <c r="BY67" s="30">
        <v>1</v>
      </c>
      <c r="BZ67" s="30">
        <v>1</v>
      </c>
      <c r="CA67" s="30">
        <v>1</v>
      </c>
      <c r="CB67" s="30">
        <v>1</v>
      </c>
      <c r="CC67" s="30">
        <v>1</v>
      </c>
      <c r="CD67" s="30">
        <v>1</v>
      </c>
      <c r="CE67" s="30">
        <v>1</v>
      </c>
      <c r="CF67" s="30">
        <v>1</v>
      </c>
      <c r="CG67" s="30">
        <v>1</v>
      </c>
      <c r="CH67" s="30">
        <v>1</v>
      </c>
      <c r="CI67" s="30">
        <v>1</v>
      </c>
      <c r="CJ67" s="30">
        <v>1</v>
      </c>
      <c r="CK67" s="30">
        <v>1</v>
      </c>
      <c r="CL67" s="30">
        <v>1</v>
      </c>
      <c r="CM67" s="30">
        <v>1</v>
      </c>
      <c r="CN67" s="30">
        <v>1</v>
      </c>
      <c r="CO67" s="30">
        <v>1</v>
      </c>
      <c r="CP67" s="30">
        <v>1</v>
      </c>
      <c r="CQ67" s="30">
        <v>1</v>
      </c>
      <c r="CR67" s="30">
        <v>1</v>
      </c>
      <c r="CS67" s="30">
        <v>1</v>
      </c>
      <c r="CT67" s="30">
        <v>1</v>
      </c>
      <c r="CU67" s="30">
        <v>1</v>
      </c>
      <c r="CV67" s="30">
        <v>1</v>
      </c>
      <c r="CW67" s="30">
        <v>1</v>
      </c>
      <c r="CX67" s="30">
        <v>1</v>
      </c>
      <c r="CY67" s="30">
        <v>1</v>
      </c>
      <c r="CZ67" s="30">
        <v>1</v>
      </c>
      <c r="DA67" s="30">
        <v>1</v>
      </c>
    </row>
    <row r="68" spans="1:105" x14ac:dyDescent="0.3">
      <c r="A68" s="34" t="str">
        <f t="shared" si="2"/>
        <v>Makson - SEDGE Brownie</v>
      </c>
      <c r="B68" s="20" t="s">
        <v>216</v>
      </c>
      <c r="C68" s="20" t="s">
        <v>5</v>
      </c>
      <c r="D68" s="19" t="s">
        <v>222</v>
      </c>
      <c r="E68" s="18" t="s">
        <v>230</v>
      </c>
      <c r="F68" s="30">
        <v>1</v>
      </c>
      <c r="G68" s="30">
        <v>2</v>
      </c>
      <c r="H68" s="30">
        <v>30</v>
      </c>
      <c r="I68" s="41"/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/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30">
        <v>1</v>
      </c>
      <c r="BG68" s="30">
        <v>1</v>
      </c>
      <c r="BH68" s="30">
        <v>1</v>
      </c>
      <c r="BI68" s="30">
        <v>1</v>
      </c>
      <c r="BJ68" s="30">
        <v>1</v>
      </c>
      <c r="BK68" s="30">
        <v>1</v>
      </c>
      <c r="BL68" s="30">
        <v>1</v>
      </c>
      <c r="BM68" s="30">
        <v>1</v>
      </c>
      <c r="BN68" s="30">
        <v>1</v>
      </c>
      <c r="BO68" s="30">
        <v>1</v>
      </c>
      <c r="BP68" s="30">
        <v>1</v>
      </c>
      <c r="BQ68" s="30">
        <v>1</v>
      </c>
      <c r="BR68" s="30">
        <v>1</v>
      </c>
      <c r="BS68" s="30">
        <v>1</v>
      </c>
      <c r="BT68" s="30">
        <v>1</v>
      </c>
      <c r="BU68" s="30">
        <v>1</v>
      </c>
      <c r="BV68" s="30">
        <v>1</v>
      </c>
      <c r="BW68" s="30">
        <v>1</v>
      </c>
      <c r="BX68" s="30">
        <v>1</v>
      </c>
      <c r="BY68" s="30">
        <v>1</v>
      </c>
      <c r="BZ68" s="30">
        <v>1</v>
      </c>
      <c r="CA68" s="30">
        <v>1</v>
      </c>
      <c r="CB68" s="30">
        <v>1</v>
      </c>
      <c r="CC68" s="30">
        <v>1</v>
      </c>
      <c r="CD68" s="30">
        <v>1</v>
      </c>
      <c r="CE68" s="30">
        <v>1</v>
      </c>
      <c r="CF68" s="30">
        <v>1</v>
      </c>
      <c r="CG68" s="30">
        <v>1</v>
      </c>
      <c r="CH68" s="30">
        <v>1</v>
      </c>
      <c r="CI68" s="30">
        <v>1</v>
      </c>
      <c r="CJ68" s="30">
        <v>1</v>
      </c>
      <c r="CK68" s="30">
        <v>1</v>
      </c>
      <c r="CL68" s="30">
        <v>1</v>
      </c>
      <c r="CM68" s="30">
        <v>1</v>
      </c>
      <c r="CN68" s="30">
        <v>1</v>
      </c>
      <c r="CO68" s="30">
        <v>1</v>
      </c>
      <c r="CP68" s="30">
        <v>1</v>
      </c>
      <c r="CQ68" s="30">
        <v>1</v>
      </c>
      <c r="CR68" s="30">
        <v>1</v>
      </c>
      <c r="CS68" s="30">
        <v>1</v>
      </c>
      <c r="CT68" s="30">
        <v>1</v>
      </c>
      <c r="CU68" s="30">
        <v>1</v>
      </c>
      <c r="CV68" s="30">
        <v>1</v>
      </c>
      <c r="CW68" s="30">
        <v>1</v>
      </c>
      <c r="CX68" s="30">
        <v>1</v>
      </c>
      <c r="CY68" s="30">
        <v>1</v>
      </c>
      <c r="CZ68" s="30">
        <v>1</v>
      </c>
      <c r="DA68" s="30">
        <v>1</v>
      </c>
    </row>
    <row r="69" spans="1:105" x14ac:dyDescent="0.3">
      <c r="A69" s="34" t="str">
        <f t="shared" si="2"/>
        <v>Makson - SEDGE Gianduja 4U</v>
      </c>
      <c r="B69" s="20" t="s">
        <v>216</v>
      </c>
      <c r="C69" s="20" t="s">
        <v>5</v>
      </c>
      <c r="D69" s="19" t="s">
        <v>222</v>
      </c>
      <c r="E69" s="18" t="s">
        <v>231</v>
      </c>
      <c r="F69" s="30">
        <v>1</v>
      </c>
      <c r="G69" s="30">
        <v>3</v>
      </c>
      <c r="H69" s="30">
        <v>30</v>
      </c>
      <c r="I69" s="41"/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/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30">
        <v>1</v>
      </c>
      <c r="BG69" s="30">
        <v>1</v>
      </c>
      <c r="BH69" s="30">
        <v>1</v>
      </c>
      <c r="BI69" s="30">
        <v>1</v>
      </c>
      <c r="BJ69" s="30">
        <v>1</v>
      </c>
      <c r="BK69" s="30">
        <v>1</v>
      </c>
      <c r="BL69" s="30">
        <v>1</v>
      </c>
      <c r="BM69" s="30">
        <v>1</v>
      </c>
      <c r="BN69" s="30">
        <v>1</v>
      </c>
      <c r="BO69" s="30">
        <v>1</v>
      </c>
      <c r="BP69" s="30">
        <v>1</v>
      </c>
      <c r="BQ69" s="30">
        <v>1</v>
      </c>
      <c r="BR69" s="30">
        <v>1</v>
      </c>
      <c r="BS69" s="30">
        <v>1</v>
      </c>
      <c r="BT69" s="30">
        <v>1</v>
      </c>
      <c r="BU69" s="30">
        <v>1</v>
      </c>
      <c r="BV69" s="30">
        <v>1</v>
      </c>
      <c r="BW69" s="30">
        <v>1</v>
      </c>
      <c r="BX69" s="30">
        <v>1</v>
      </c>
      <c r="BY69" s="30">
        <v>1</v>
      </c>
      <c r="BZ69" s="30">
        <v>1</v>
      </c>
      <c r="CA69" s="30">
        <v>1</v>
      </c>
      <c r="CB69" s="30">
        <v>1</v>
      </c>
      <c r="CC69" s="30">
        <v>1</v>
      </c>
      <c r="CD69" s="30">
        <v>1</v>
      </c>
      <c r="CE69" s="30">
        <v>1</v>
      </c>
      <c r="CF69" s="30">
        <v>1</v>
      </c>
      <c r="CG69" s="30">
        <v>1</v>
      </c>
      <c r="CH69" s="30">
        <v>1</v>
      </c>
      <c r="CI69" s="30">
        <v>1</v>
      </c>
      <c r="CJ69" s="30">
        <v>1</v>
      </c>
      <c r="CK69" s="30">
        <v>1</v>
      </c>
      <c r="CL69" s="30">
        <v>1</v>
      </c>
      <c r="CM69" s="30">
        <v>1</v>
      </c>
      <c r="CN69" s="30">
        <v>1</v>
      </c>
      <c r="CO69" s="30">
        <v>1</v>
      </c>
      <c r="CP69" s="30">
        <v>1</v>
      </c>
      <c r="CQ69" s="30">
        <v>1</v>
      </c>
      <c r="CR69" s="30">
        <v>1</v>
      </c>
      <c r="CS69" s="30">
        <v>1</v>
      </c>
      <c r="CT69" s="30">
        <v>1</v>
      </c>
      <c r="CU69" s="30">
        <v>1</v>
      </c>
      <c r="CV69" s="30">
        <v>1</v>
      </c>
      <c r="CW69" s="30">
        <v>1</v>
      </c>
      <c r="CX69" s="30">
        <v>1</v>
      </c>
      <c r="CY69" s="30">
        <v>1</v>
      </c>
      <c r="CZ69" s="30">
        <v>1</v>
      </c>
      <c r="DA69" s="30">
        <v>1</v>
      </c>
    </row>
    <row r="70" spans="1:105" x14ac:dyDescent="0.3">
      <c r="A70" s="34" t="str">
        <f t="shared" si="2"/>
        <v>Makson - SLumos</v>
      </c>
      <c r="B70" s="20" t="s">
        <v>216</v>
      </c>
      <c r="C70" s="20" t="s">
        <v>5</v>
      </c>
      <c r="D70" s="19" t="s">
        <v>217</v>
      </c>
      <c r="E70" s="18" t="s">
        <v>77</v>
      </c>
      <c r="F70" s="30">
        <v>1</v>
      </c>
      <c r="G70" s="30">
        <v>1</v>
      </c>
      <c r="H70" s="30">
        <v>30</v>
      </c>
      <c r="I70" s="41"/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>
        <v>374.40000000000003</v>
      </c>
      <c r="AD70" s="21">
        <v>374.40000000000003</v>
      </c>
      <c r="AE70" s="21">
        <v>374.40000000000003</v>
      </c>
      <c r="AF70" s="21">
        <v>374.40000000000003</v>
      </c>
      <c r="AG70" s="21">
        <v>374.40000000000003</v>
      </c>
      <c r="AH70" s="21">
        <v>374.40000000000003</v>
      </c>
      <c r="AI70" s="21"/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30">
        <v>1</v>
      </c>
      <c r="BG70" s="30">
        <v>1</v>
      </c>
      <c r="BH70" s="30">
        <v>1</v>
      </c>
      <c r="BI70" s="30">
        <v>1</v>
      </c>
      <c r="BJ70" s="30">
        <v>1</v>
      </c>
      <c r="BK70" s="30">
        <v>1</v>
      </c>
      <c r="BL70" s="30">
        <v>1</v>
      </c>
      <c r="BM70" s="30">
        <v>1</v>
      </c>
      <c r="BN70" s="30">
        <v>1</v>
      </c>
      <c r="BO70" s="30">
        <v>1</v>
      </c>
      <c r="BP70" s="30">
        <v>1</v>
      </c>
      <c r="BQ70" s="30">
        <v>1</v>
      </c>
      <c r="BR70" s="30">
        <v>1</v>
      </c>
      <c r="BS70" s="30">
        <v>1</v>
      </c>
      <c r="BT70" s="30">
        <v>1</v>
      </c>
      <c r="BU70" s="30">
        <v>1</v>
      </c>
      <c r="BV70" s="30">
        <v>1</v>
      </c>
      <c r="BW70" s="30">
        <v>1</v>
      </c>
      <c r="BX70" s="30">
        <v>1</v>
      </c>
      <c r="BY70" s="30">
        <v>1</v>
      </c>
      <c r="BZ70" s="30">
        <v>1</v>
      </c>
      <c r="CA70" s="30">
        <v>1</v>
      </c>
      <c r="CB70" s="30">
        <v>1</v>
      </c>
      <c r="CC70" s="30">
        <v>1</v>
      </c>
      <c r="CD70" s="30">
        <v>1</v>
      </c>
      <c r="CE70" s="30">
        <v>1</v>
      </c>
      <c r="CF70" s="30">
        <v>1</v>
      </c>
      <c r="CG70" s="30">
        <v>1</v>
      </c>
      <c r="CH70" s="30">
        <v>1</v>
      </c>
      <c r="CI70" s="30">
        <v>1</v>
      </c>
      <c r="CJ70" s="30">
        <v>1</v>
      </c>
      <c r="CK70" s="30">
        <v>1</v>
      </c>
      <c r="CL70" s="30">
        <v>1</v>
      </c>
      <c r="CM70" s="30">
        <v>1</v>
      </c>
      <c r="CN70" s="30">
        <v>1</v>
      </c>
      <c r="CO70" s="30">
        <v>1</v>
      </c>
      <c r="CP70" s="30">
        <v>1</v>
      </c>
      <c r="CQ70" s="30">
        <v>1</v>
      </c>
      <c r="CR70" s="30">
        <v>1</v>
      </c>
      <c r="CS70" s="30">
        <v>1</v>
      </c>
      <c r="CT70" s="30">
        <v>1</v>
      </c>
      <c r="CU70" s="30">
        <v>1</v>
      </c>
      <c r="CV70" s="30">
        <v>1</v>
      </c>
      <c r="CW70" s="30">
        <v>1</v>
      </c>
      <c r="CX70" s="30">
        <v>1</v>
      </c>
      <c r="CY70" s="30">
        <v>1</v>
      </c>
      <c r="CZ70" s="30">
        <v>1</v>
      </c>
      <c r="DA70" s="30">
        <v>1</v>
      </c>
    </row>
    <row r="71" spans="1:105" x14ac:dyDescent="0.3">
      <c r="A71" s="34" t="str">
        <f t="shared" si="2"/>
        <v>Makson - SRaisin &amp; Nut Large</v>
      </c>
      <c r="B71" s="20" t="s">
        <v>216</v>
      </c>
      <c r="C71" s="20" t="s">
        <v>5</v>
      </c>
      <c r="D71" s="19" t="s">
        <v>217</v>
      </c>
      <c r="E71" s="18" t="s">
        <v>75</v>
      </c>
      <c r="F71" s="30">
        <v>1</v>
      </c>
      <c r="G71" s="30">
        <v>3</v>
      </c>
      <c r="H71" s="30">
        <v>30</v>
      </c>
      <c r="I71" s="41"/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>
        <v>374.40000000000003</v>
      </c>
      <c r="AD71" s="21">
        <v>374.40000000000003</v>
      </c>
      <c r="AE71" s="21">
        <v>374.40000000000003</v>
      </c>
      <c r="AF71" s="21">
        <v>374.40000000000003</v>
      </c>
      <c r="AG71" s="21">
        <v>374.40000000000003</v>
      </c>
      <c r="AH71" s="21">
        <v>374.40000000000003</v>
      </c>
      <c r="AI71" s="21"/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30">
        <v>1</v>
      </c>
      <c r="BG71" s="30">
        <v>1</v>
      </c>
      <c r="BH71" s="30">
        <v>1</v>
      </c>
      <c r="BI71" s="30">
        <v>1</v>
      </c>
      <c r="BJ71" s="30">
        <v>1</v>
      </c>
      <c r="BK71" s="30">
        <v>1</v>
      </c>
      <c r="BL71" s="30">
        <v>1</v>
      </c>
      <c r="BM71" s="30">
        <v>1</v>
      </c>
      <c r="BN71" s="30">
        <v>1</v>
      </c>
      <c r="BO71" s="30">
        <v>1</v>
      </c>
      <c r="BP71" s="30">
        <v>1</v>
      </c>
      <c r="BQ71" s="30">
        <v>1</v>
      </c>
      <c r="BR71" s="30">
        <v>1</v>
      </c>
      <c r="BS71" s="30">
        <v>1</v>
      </c>
      <c r="BT71" s="30">
        <v>1</v>
      </c>
      <c r="BU71" s="30">
        <v>1</v>
      </c>
      <c r="BV71" s="30">
        <v>1</v>
      </c>
      <c r="BW71" s="30">
        <v>1</v>
      </c>
      <c r="BX71" s="30">
        <v>1</v>
      </c>
      <c r="BY71" s="30">
        <v>1</v>
      </c>
      <c r="BZ71" s="30">
        <v>1</v>
      </c>
      <c r="CA71" s="30">
        <v>1</v>
      </c>
      <c r="CB71" s="30">
        <v>1</v>
      </c>
      <c r="CC71" s="30">
        <v>1</v>
      </c>
      <c r="CD71" s="30">
        <v>1</v>
      </c>
      <c r="CE71" s="30">
        <v>1</v>
      </c>
      <c r="CF71" s="30">
        <v>1</v>
      </c>
      <c r="CG71" s="30">
        <v>1</v>
      </c>
      <c r="CH71" s="30">
        <v>1</v>
      </c>
      <c r="CI71" s="30">
        <v>1</v>
      </c>
      <c r="CJ71" s="30">
        <v>1</v>
      </c>
      <c r="CK71" s="30">
        <v>1</v>
      </c>
      <c r="CL71" s="30">
        <v>1</v>
      </c>
      <c r="CM71" s="30">
        <v>1</v>
      </c>
      <c r="CN71" s="30">
        <v>1</v>
      </c>
      <c r="CO71" s="30">
        <v>1</v>
      </c>
      <c r="CP71" s="30">
        <v>1</v>
      </c>
      <c r="CQ71" s="30">
        <v>1</v>
      </c>
      <c r="CR71" s="30">
        <v>1</v>
      </c>
      <c r="CS71" s="30">
        <v>1</v>
      </c>
      <c r="CT71" s="30">
        <v>1</v>
      </c>
      <c r="CU71" s="30">
        <v>1</v>
      </c>
      <c r="CV71" s="30">
        <v>1</v>
      </c>
      <c r="CW71" s="30">
        <v>1</v>
      </c>
      <c r="CX71" s="30">
        <v>1</v>
      </c>
      <c r="CY71" s="30">
        <v>1</v>
      </c>
      <c r="CZ71" s="30">
        <v>1</v>
      </c>
      <c r="DA71" s="30">
        <v>1</v>
      </c>
    </row>
    <row r="72" spans="1:105" x14ac:dyDescent="0.3">
      <c r="A72" s="34" t="str">
        <f t="shared" ref="A72:A142" si="3">C72&amp;E72</f>
        <v>Makson - SRich Cocoa Large</v>
      </c>
      <c r="B72" s="20" t="s">
        <v>216</v>
      </c>
      <c r="C72" s="20" t="s">
        <v>5</v>
      </c>
      <c r="D72" s="19" t="s">
        <v>217</v>
      </c>
      <c r="E72" s="18" t="s">
        <v>74</v>
      </c>
      <c r="F72" s="30">
        <v>1</v>
      </c>
      <c r="G72" s="30">
        <v>2</v>
      </c>
      <c r="H72" s="30">
        <v>30</v>
      </c>
      <c r="I72" s="41"/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>
        <v>450</v>
      </c>
      <c r="AD72" s="21">
        <v>450</v>
      </c>
      <c r="AE72" s="21">
        <v>450</v>
      </c>
      <c r="AF72" s="21">
        <v>450</v>
      </c>
      <c r="AG72" s="21">
        <v>450</v>
      </c>
      <c r="AH72" s="21">
        <v>450</v>
      </c>
      <c r="AI72" s="21"/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30">
        <v>1</v>
      </c>
      <c r="BG72" s="30">
        <v>1</v>
      </c>
      <c r="BH72" s="30">
        <v>1</v>
      </c>
      <c r="BI72" s="30">
        <v>1</v>
      </c>
      <c r="BJ72" s="30">
        <v>1</v>
      </c>
      <c r="BK72" s="30">
        <v>1</v>
      </c>
      <c r="BL72" s="30">
        <v>1</v>
      </c>
      <c r="BM72" s="30">
        <v>1</v>
      </c>
      <c r="BN72" s="30">
        <v>1</v>
      </c>
      <c r="BO72" s="30">
        <v>1</v>
      </c>
      <c r="BP72" s="30">
        <v>1</v>
      </c>
      <c r="BQ72" s="30">
        <v>1</v>
      </c>
      <c r="BR72" s="30">
        <v>1</v>
      </c>
      <c r="BS72" s="30">
        <v>1</v>
      </c>
      <c r="BT72" s="30">
        <v>1</v>
      </c>
      <c r="BU72" s="30">
        <v>1</v>
      </c>
      <c r="BV72" s="30">
        <v>1</v>
      </c>
      <c r="BW72" s="30">
        <v>1</v>
      </c>
      <c r="BX72" s="30">
        <v>1</v>
      </c>
      <c r="BY72" s="30">
        <v>1</v>
      </c>
      <c r="BZ72" s="30">
        <v>1</v>
      </c>
      <c r="CA72" s="30">
        <v>1</v>
      </c>
      <c r="CB72" s="30">
        <v>1</v>
      </c>
      <c r="CC72" s="30">
        <v>1</v>
      </c>
      <c r="CD72" s="30">
        <v>1</v>
      </c>
      <c r="CE72" s="30">
        <v>1</v>
      </c>
      <c r="CF72" s="30">
        <v>1</v>
      </c>
      <c r="CG72" s="30">
        <v>1</v>
      </c>
      <c r="CH72" s="30">
        <v>1</v>
      </c>
      <c r="CI72" s="30">
        <v>1</v>
      </c>
      <c r="CJ72" s="30">
        <v>1</v>
      </c>
      <c r="CK72" s="30">
        <v>1</v>
      </c>
      <c r="CL72" s="30">
        <v>1</v>
      </c>
      <c r="CM72" s="30">
        <v>1</v>
      </c>
      <c r="CN72" s="30">
        <v>1</v>
      </c>
      <c r="CO72" s="30">
        <v>1</v>
      </c>
      <c r="CP72" s="30">
        <v>1</v>
      </c>
      <c r="CQ72" s="30">
        <v>1</v>
      </c>
      <c r="CR72" s="30">
        <v>1</v>
      </c>
      <c r="CS72" s="30">
        <v>1</v>
      </c>
      <c r="CT72" s="30">
        <v>1</v>
      </c>
      <c r="CU72" s="30">
        <v>1</v>
      </c>
      <c r="CV72" s="30">
        <v>1</v>
      </c>
      <c r="CW72" s="30">
        <v>1</v>
      </c>
      <c r="CX72" s="30">
        <v>1</v>
      </c>
      <c r="CY72" s="30">
        <v>1</v>
      </c>
      <c r="CZ72" s="30">
        <v>1</v>
      </c>
      <c r="DA72" s="30">
        <v>1</v>
      </c>
    </row>
    <row r="73" spans="1:105" x14ac:dyDescent="0.3">
      <c r="A73" s="34" t="str">
        <f t="shared" si="3"/>
        <v>Makson - SRich Cocoa Large NEPAL</v>
      </c>
      <c r="B73" s="20" t="s">
        <v>216</v>
      </c>
      <c r="C73" s="20" t="s">
        <v>5</v>
      </c>
      <c r="D73" s="19" t="s">
        <v>217</v>
      </c>
      <c r="E73" s="18" t="s">
        <v>232</v>
      </c>
      <c r="F73" s="30">
        <v>1</v>
      </c>
      <c r="G73" s="30">
        <v>3</v>
      </c>
      <c r="H73" s="30">
        <v>30</v>
      </c>
      <c r="I73" s="41"/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>
        <v>450</v>
      </c>
      <c r="AD73" s="21">
        <v>450</v>
      </c>
      <c r="AE73" s="21">
        <v>450</v>
      </c>
      <c r="AF73" s="21">
        <v>450</v>
      </c>
      <c r="AG73" s="21">
        <v>450</v>
      </c>
      <c r="AH73" s="21">
        <v>450</v>
      </c>
      <c r="AI73" s="21"/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30">
        <v>1</v>
      </c>
      <c r="BG73" s="30">
        <v>1</v>
      </c>
      <c r="BH73" s="30">
        <v>1</v>
      </c>
      <c r="BI73" s="30">
        <v>1</v>
      </c>
      <c r="BJ73" s="30">
        <v>1</v>
      </c>
      <c r="BK73" s="30">
        <v>1</v>
      </c>
      <c r="BL73" s="30">
        <v>1</v>
      </c>
      <c r="BM73" s="30">
        <v>1</v>
      </c>
      <c r="BN73" s="30">
        <v>1</v>
      </c>
      <c r="BO73" s="30">
        <v>1</v>
      </c>
      <c r="BP73" s="30">
        <v>1</v>
      </c>
      <c r="BQ73" s="30">
        <v>1</v>
      </c>
      <c r="BR73" s="30">
        <v>1</v>
      </c>
      <c r="BS73" s="30">
        <v>1</v>
      </c>
      <c r="BT73" s="30">
        <v>1</v>
      </c>
      <c r="BU73" s="30">
        <v>1</v>
      </c>
      <c r="BV73" s="30">
        <v>1</v>
      </c>
      <c r="BW73" s="30">
        <v>1</v>
      </c>
      <c r="BX73" s="30">
        <v>1</v>
      </c>
      <c r="BY73" s="30">
        <v>1</v>
      </c>
      <c r="BZ73" s="30">
        <v>1</v>
      </c>
      <c r="CA73" s="30">
        <v>1</v>
      </c>
      <c r="CB73" s="30">
        <v>1</v>
      </c>
      <c r="CC73" s="30">
        <v>1</v>
      </c>
      <c r="CD73" s="30">
        <v>1</v>
      </c>
      <c r="CE73" s="30">
        <v>1</v>
      </c>
      <c r="CF73" s="30">
        <v>1</v>
      </c>
      <c r="CG73" s="30">
        <v>1</v>
      </c>
      <c r="CH73" s="30">
        <v>1</v>
      </c>
      <c r="CI73" s="30">
        <v>1</v>
      </c>
      <c r="CJ73" s="30">
        <v>1</v>
      </c>
      <c r="CK73" s="30">
        <v>1</v>
      </c>
      <c r="CL73" s="30">
        <v>1</v>
      </c>
      <c r="CM73" s="30">
        <v>1</v>
      </c>
      <c r="CN73" s="30">
        <v>1</v>
      </c>
      <c r="CO73" s="30">
        <v>1</v>
      </c>
      <c r="CP73" s="30">
        <v>1</v>
      </c>
      <c r="CQ73" s="30">
        <v>1</v>
      </c>
      <c r="CR73" s="30">
        <v>1</v>
      </c>
      <c r="CS73" s="30">
        <v>1</v>
      </c>
      <c r="CT73" s="30">
        <v>1</v>
      </c>
      <c r="CU73" s="30">
        <v>1</v>
      </c>
      <c r="CV73" s="30">
        <v>1</v>
      </c>
      <c r="CW73" s="30">
        <v>1</v>
      </c>
      <c r="CX73" s="30">
        <v>1</v>
      </c>
      <c r="CY73" s="30">
        <v>1</v>
      </c>
      <c r="CZ73" s="30">
        <v>1</v>
      </c>
      <c r="DA73" s="30">
        <v>1</v>
      </c>
    </row>
    <row r="74" spans="1:105" x14ac:dyDescent="0.3">
      <c r="A74" s="34" t="str">
        <f t="shared" si="3"/>
        <v>Makson - SRich Cocoa Small</v>
      </c>
      <c r="B74" s="20" t="s">
        <v>216</v>
      </c>
      <c r="C74" s="20" t="s">
        <v>5</v>
      </c>
      <c r="D74" s="19" t="s">
        <v>217</v>
      </c>
      <c r="E74" s="18" t="s">
        <v>73</v>
      </c>
      <c r="F74" s="30">
        <v>1</v>
      </c>
      <c r="G74" s="30">
        <v>1</v>
      </c>
      <c r="H74" s="30">
        <v>30</v>
      </c>
      <c r="I74" s="41"/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>
        <v>302.40000000000003</v>
      </c>
      <c r="AD74" s="21">
        <v>302.40000000000003</v>
      </c>
      <c r="AE74" s="21">
        <v>302.40000000000003</v>
      </c>
      <c r="AF74" s="21">
        <v>302.40000000000003</v>
      </c>
      <c r="AG74" s="21">
        <v>302.40000000000003</v>
      </c>
      <c r="AH74" s="21">
        <v>302.40000000000003</v>
      </c>
      <c r="AI74" s="21"/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30">
        <v>1</v>
      </c>
      <c r="BG74" s="30">
        <v>1</v>
      </c>
      <c r="BH74" s="30">
        <v>1</v>
      </c>
      <c r="BI74" s="30">
        <v>1</v>
      </c>
      <c r="BJ74" s="30">
        <v>1</v>
      </c>
      <c r="BK74" s="30">
        <v>1</v>
      </c>
      <c r="BL74" s="30">
        <v>1</v>
      </c>
      <c r="BM74" s="30">
        <v>1</v>
      </c>
      <c r="BN74" s="30">
        <v>1</v>
      </c>
      <c r="BO74" s="30">
        <v>1</v>
      </c>
      <c r="BP74" s="30">
        <v>1</v>
      </c>
      <c r="BQ74" s="30">
        <v>1</v>
      </c>
      <c r="BR74" s="30">
        <v>1</v>
      </c>
      <c r="BS74" s="30">
        <v>1</v>
      </c>
      <c r="BT74" s="30">
        <v>1</v>
      </c>
      <c r="BU74" s="30">
        <v>1</v>
      </c>
      <c r="BV74" s="30">
        <v>1</v>
      </c>
      <c r="BW74" s="30">
        <v>1</v>
      </c>
      <c r="BX74" s="30">
        <v>1</v>
      </c>
      <c r="BY74" s="30">
        <v>1</v>
      </c>
      <c r="BZ74" s="30">
        <v>1</v>
      </c>
      <c r="CA74" s="30">
        <v>1</v>
      </c>
      <c r="CB74" s="30">
        <v>1</v>
      </c>
      <c r="CC74" s="30">
        <v>1</v>
      </c>
      <c r="CD74" s="30">
        <v>1</v>
      </c>
      <c r="CE74" s="30">
        <v>1</v>
      </c>
      <c r="CF74" s="30">
        <v>1</v>
      </c>
      <c r="CG74" s="30">
        <v>1</v>
      </c>
      <c r="CH74" s="30">
        <v>1</v>
      </c>
      <c r="CI74" s="30">
        <v>1</v>
      </c>
      <c r="CJ74" s="30">
        <v>1</v>
      </c>
      <c r="CK74" s="30">
        <v>1</v>
      </c>
      <c r="CL74" s="30">
        <v>1</v>
      </c>
      <c r="CM74" s="30">
        <v>1</v>
      </c>
      <c r="CN74" s="30">
        <v>1</v>
      </c>
      <c r="CO74" s="30">
        <v>1</v>
      </c>
      <c r="CP74" s="30">
        <v>1</v>
      </c>
      <c r="CQ74" s="30">
        <v>1</v>
      </c>
      <c r="CR74" s="30">
        <v>1</v>
      </c>
      <c r="CS74" s="30">
        <v>1</v>
      </c>
      <c r="CT74" s="30">
        <v>1</v>
      </c>
      <c r="CU74" s="30">
        <v>1</v>
      </c>
      <c r="CV74" s="30">
        <v>1</v>
      </c>
      <c r="CW74" s="30">
        <v>1</v>
      </c>
      <c r="CX74" s="30">
        <v>1</v>
      </c>
      <c r="CY74" s="30">
        <v>1</v>
      </c>
      <c r="CZ74" s="30">
        <v>1</v>
      </c>
      <c r="DA74" s="30">
        <v>1</v>
      </c>
    </row>
    <row r="75" spans="1:105" x14ac:dyDescent="0.3">
      <c r="A75" s="34" t="str">
        <f t="shared" si="3"/>
        <v>Induri - ShellSILK BUBBLY  Large NEPAL</v>
      </c>
      <c r="B75" s="20" t="s">
        <v>82</v>
      </c>
      <c r="C75" s="20" t="s">
        <v>11</v>
      </c>
      <c r="D75" s="19" t="s">
        <v>40</v>
      </c>
      <c r="E75" s="18" t="s">
        <v>233</v>
      </c>
      <c r="F75" s="30">
        <v>5</v>
      </c>
      <c r="G75" s="30">
        <v>1</v>
      </c>
      <c r="H75" s="30">
        <v>30</v>
      </c>
      <c r="I75" s="41"/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>
        <v>790.27199999999982</v>
      </c>
      <c r="AD75" s="21">
        <v>790.27199999999982</v>
      </c>
      <c r="AE75" s="21">
        <v>790.27199999999982</v>
      </c>
      <c r="AF75" s="21">
        <v>790.27199999999982</v>
      </c>
      <c r="AG75" s="21">
        <v>790.27199999999982</v>
      </c>
      <c r="AH75" s="21">
        <v>790.27199999999982</v>
      </c>
      <c r="AI75" s="21"/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30">
        <v>1</v>
      </c>
      <c r="BG75" s="30">
        <v>1</v>
      </c>
      <c r="BH75" s="30">
        <v>1</v>
      </c>
      <c r="BI75" s="30">
        <v>1</v>
      </c>
      <c r="BJ75" s="30">
        <v>1</v>
      </c>
      <c r="BK75" s="30">
        <v>1</v>
      </c>
      <c r="BL75" s="30">
        <v>1</v>
      </c>
      <c r="BM75" s="30">
        <v>1</v>
      </c>
      <c r="BN75" s="30">
        <v>1</v>
      </c>
      <c r="BO75" s="30">
        <v>1</v>
      </c>
      <c r="BP75" s="30">
        <v>1</v>
      </c>
      <c r="BQ75" s="30">
        <v>1</v>
      </c>
      <c r="BR75" s="30">
        <v>1</v>
      </c>
      <c r="BS75" s="30">
        <v>1</v>
      </c>
      <c r="BT75" s="30">
        <v>1</v>
      </c>
      <c r="BU75" s="30">
        <v>1</v>
      </c>
      <c r="BV75" s="30">
        <v>1</v>
      </c>
      <c r="BW75" s="30">
        <v>1</v>
      </c>
      <c r="BX75" s="30">
        <v>1</v>
      </c>
      <c r="BY75" s="30">
        <v>1</v>
      </c>
      <c r="BZ75" s="30">
        <v>1</v>
      </c>
      <c r="CA75" s="30">
        <v>1</v>
      </c>
      <c r="CB75" s="30">
        <v>1</v>
      </c>
      <c r="CC75" s="30">
        <v>1</v>
      </c>
      <c r="CD75" s="30">
        <v>1</v>
      </c>
      <c r="CE75" s="30">
        <v>1</v>
      </c>
      <c r="CF75" s="30">
        <v>1</v>
      </c>
      <c r="CG75" s="30">
        <v>1</v>
      </c>
      <c r="CH75" s="30">
        <v>1</v>
      </c>
      <c r="CI75" s="30">
        <v>1</v>
      </c>
      <c r="CJ75" s="30">
        <v>1</v>
      </c>
      <c r="CK75" s="30">
        <v>1</v>
      </c>
      <c r="CL75" s="30">
        <v>1</v>
      </c>
      <c r="CM75" s="30">
        <v>1</v>
      </c>
      <c r="CN75" s="30">
        <v>1</v>
      </c>
      <c r="CO75" s="30">
        <v>1</v>
      </c>
      <c r="CP75" s="30">
        <v>1</v>
      </c>
      <c r="CQ75" s="30">
        <v>1</v>
      </c>
      <c r="CR75" s="30">
        <v>1</v>
      </c>
      <c r="CS75" s="30">
        <v>1</v>
      </c>
      <c r="CT75" s="30">
        <v>1</v>
      </c>
      <c r="CU75" s="30">
        <v>1</v>
      </c>
      <c r="CV75" s="30">
        <v>1</v>
      </c>
      <c r="CW75" s="30">
        <v>1</v>
      </c>
      <c r="CX75" s="30">
        <v>1</v>
      </c>
      <c r="CY75" s="30">
        <v>1</v>
      </c>
      <c r="CZ75" s="30">
        <v>1</v>
      </c>
      <c r="DA75" s="30">
        <v>1</v>
      </c>
    </row>
    <row r="76" spans="1:105" x14ac:dyDescent="0.3">
      <c r="A76" s="34" t="str">
        <f t="shared" si="3"/>
        <v>Sricity - NMLSILK BUBBLY  Large NEPAL</v>
      </c>
      <c r="B76" s="20" t="s">
        <v>81</v>
      </c>
      <c r="C76" s="20" t="s">
        <v>17</v>
      </c>
      <c r="D76" s="19" t="s">
        <v>40</v>
      </c>
      <c r="E76" s="18" t="s">
        <v>233</v>
      </c>
      <c r="F76" s="30">
        <v>4</v>
      </c>
      <c r="G76" s="30">
        <v>1</v>
      </c>
      <c r="H76" s="30">
        <v>30</v>
      </c>
      <c r="I76" s="41"/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>
        <v>1666.6666666666667</v>
      </c>
      <c r="AD76" s="21">
        <v>1666.6666666666667</v>
      </c>
      <c r="AE76" s="21">
        <v>1666.6666666666667</v>
      </c>
      <c r="AF76" s="21">
        <v>1666.6666666666667</v>
      </c>
      <c r="AG76" s="21">
        <v>1666.6666666666667</v>
      </c>
      <c r="AH76" s="21">
        <v>1666.6666666666667</v>
      </c>
      <c r="AI76" s="21"/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30">
        <v>1</v>
      </c>
      <c r="BG76" s="30">
        <v>1</v>
      </c>
      <c r="BH76" s="30">
        <v>1</v>
      </c>
      <c r="BI76" s="30">
        <v>1</v>
      </c>
      <c r="BJ76" s="30">
        <v>1</v>
      </c>
      <c r="BK76" s="30">
        <v>1</v>
      </c>
      <c r="BL76" s="30">
        <v>1</v>
      </c>
      <c r="BM76" s="30">
        <v>1</v>
      </c>
      <c r="BN76" s="30">
        <v>1</v>
      </c>
      <c r="BO76" s="30">
        <v>1</v>
      </c>
      <c r="BP76" s="30">
        <v>1</v>
      </c>
      <c r="BQ76" s="30">
        <v>1</v>
      </c>
      <c r="BR76" s="30">
        <v>1</v>
      </c>
      <c r="BS76" s="30">
        <v>1</v>
      </c>
      <c r="BT76" s="30">
        <v>1</v>
      </c>
      <c r="BU76" s="30">
        <v>1</v>
      </c>
      <c r="BV76" s="30">
        <v>1</v>
      </c>
      <c r="BW76" s="30">
        <v>1</v>
      </c>
      <c r="BX76" s="30">
        <v>1</v>
      </c>
      <c r="BY76" s="30">
        <v>1</v>
      </c>
      <c r="BZ76" s="30">
        <v>1</v>
      </c>
      <c r="CA76" s="30">
        <v>1</v>
      </c>
      <c r="CB76" s="30">
        <v>1</v>
      </c>
      <c r="CC76" s="30">
        <v>1</v>
      </c>
      <c r="CD76" s="30">
        <v>1</v>
      </c>
      <c r="CE76" s="30">
        <v>1</v>
      </c>
      <c r="CF76" s="30">
        <v>1</v>
      </c>
      <c r="CG76" s="30">
        <v>1</v>
      </c>
      <c r="CH76" s="30">
        <v>1</v>
      </c>
      <c r="CI76" s="30">
        <v>1</v>
      </c>
      <c r="CJ76" s="30">
        <v>1</v>
      </c>
      <c r="CK76" s="30">
        <v>1</v>
      </c>
      <c r="CL76" s="30">
        <v>1</v>
      </c>
      <c r="CM76" s="30">
        <v>1</v>
      </c>
      <c r="CN76" s="30">
        <v>1</v>
      </c>
      <c r="CO76" s="30">
        <v>1</v>
      </c>
      <c r="CP76" s="30">
        <v>1</v>
      </c>
      <c r="CQ76" s="30">
        <v>1</v>
      </c>
      <c r="CR76" s="30">
        <v>1</v>
      </c>
      <c r="CS76" s="30">
        <v>1</v>
      </c>
      <c r="CT76" s="30">
        <v>1</v>
      </c>
      <c r="CU76" s="30">
        <v>1</v>
      </c>
      <c r="CV76" s="30">
        <v>1</v>
      </c>
      <c r="CW76" s="30">
        <v>1</v>
      </c>
      <c r="CX76" s="30">
        <v>1</v>
      </c>
      <c r="CY76" s="30">
        <v>1</v>
      </c>
      <c r="CZ76" s="30">
        <v>1</v>
      </c>
      <c r="DA76" s="30">
        <v>1</v>
      </c>
    </row>
    <row r="77" spans="1:105" x14ac:dyDescent="0.3">
      <c r="A77" s="34" t="str">
        <f t="shared" si="3"/>
        <v>Induri - ShellSilk Bubbly Large</v>
      </c>
      <c r="B77" s="20" t="s">
        <v>82</v>
      </c>
      <c r="C77" s="20" t="s">
        <v>11</v>
      </c>
      <c r="D77" s="19" t="s">
        <v>40</v>
      </c>
      <c r="E77" s="18" t="s">
        <v>58</v>
      </c>
      <c r="F77" s="30">
        <v>5</v>
      </c>
      <c r="G77" s="30">
        <v>1</v>
      </c>
      <c r="H77" s="30">
        <v>30</v>
      </c>
      <c r="I77" s="41"/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>
        <v>790.27199999999993</v>
      </c>
      <c r="AD77" s="21">
        <v>790.27199999999993</v>
      </c>
      <c r="AE77" s="21">
        <v>790.27199999999993</v>
      </c>
      <c r="AF77" s="21">
        <v>790.27199999999993</v>
      </c>
      <c r="AG77" s="21">
        <v>790.27199999999993</v>
      </c>
      <c r="AH77" s="21">
        <v>790.27199999999993</v>
      </c>
      <c r="AI77" s="21"/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30">
        <v>1</v>
      </c>
      <c r="BG77" s="30">
        <v>1</v>
      </c>
      <c r="BH77" s="30">
        <v>1</v>
      </c>
      <c r="BI77" s="30">
        <v>1</v>
      </c>
      <c r="BJ77" s="30">
        <v>1</v>
      </c>
      <c r="BK77" s="30">
        <v>1</v>
      </c>
      <c r="BL77" s="30">
        <v>1</v>
      </c>
      <c r="BM77" s="30">
        <v>1</v>
      </c>
      <c r="BN77" s="30">
        <v>1</v>
      </c>
      <c r="BO77" s="30">
        <v>1</v>
      </c>
      <c r="BP77" s="30">
        <v>1</v>
      </c>
      <c r="BQ77" s="30">
        <v>1</v>
      </c>
      <c r="BR77" s="30">
        <v>1</v>
      </c>
      <c r="BS77" s="30">
        <v>1</v>
      </c>
      <c r="BT77" s="30">
        <v>1</v>
      </c>
      <c r="BU77" s="30">
        <v>1</v>
      </c>
      <c r="BV77" s="30">
        <v>1</v>
      </c>
      <c r="BW77" s="30">
        <v>1</v>
      </c>
      <c r="BX77" s="30">
        <v>1</v>
      </c>
      <c r="BY77" s="30">
        <v>1</v>
      </c>
      <c r="BZ77" s="30">
        <v>1</v>
      </c>
      <c r="CA77" s="30">
        <v>1</v>
      </c>
      <c r="CB77" s="30">
        <v>1</v>
      </c>
      <c r="CC77" s="30">
        <v>1</v>
      </c>
      <c r="CD77" s="30">
        <v>1</v>
      </c>
      <c r="CE77" s="30">
        <v>1</v>
      </c>
      <c r="CF77" s="30">
        <v>1</v>
      </c>
      <c r="CG77" s="30">
        <v>1</v>
      </c>
      <c r="CH77" s="30">
        <v>1</v>
      </c>
      <c r="CI77" s="30">
        <v>1</v>
      </c>
      <c r="CJ77" s="30">
        <v>1</v>
      </c>
      <c r="CK77" s="30">
        <v>1</v>
      </c>
      <c r="CL77" s="30">
        <v>1</v>
      </c>
      <c r="CM77" s="30">
        <v>1</v>
      </c>
      <c r="CN77" s="30">
        <v>1</v>
      </c>
      <c r="CO77" s="30">
        <v>1</v>
      </c>
      <c r="CP77" s="30">
        <v>1</v>
      </c>
      <c r="CQ77" s="30">
        <v>1</v>
      </c>
      <c r="CR77" s="30">
        <v>1</v>
      </c>
      <c r="CS77" s="30">
        <v>1</v>
      </c>
      <c r="CT77" s="30">
        <v>1</v>
      </c>
      <c r="CU77" s="30">
        <v>1</v>
      </c>
      <c r="CV77" s="30">
        <v>1</v>
      </c>
      <c r="CW77" s="30">
        <v>1</v>
      </c>
      <c r="CX77" s="30">
        <v>1</v>
      </c>
      <c r="CY77" s="30">
        <v>1</v>
      </c>
      <c r="CZ77" s="30">
        <v>1</v>
      </c>
      <c r="DA77" s="30">
        <v>1</v>
      </c>
    </row>
    <row r="78" spans="1:105" x14ac:dyDescent="0.3">
      <c r="A78" s="34" t="str">
        <f t="shared" si="3"/>
        <v>Sricity - NMLSilk Bubbly Large</v>
      </c>
      <c r="B78" s="20" t="s">
        <v>81</v>
      </c>
      <c r="C78" s="20" t="s">
        <v>17</v>
      </c>
      <c r="D78" s="19" t="s">
        <v>40</v>
      </c>
      <c r="E78" s="18" t="s">
        <v>58</v>
      </c>
      <c r="F78" s="30">
        <v>4</v>
      </c>
      <c r="G78" s="30">
        <v>1</v>
      </c>
      <c r="H78" s="30">
        <v>30</v>
      </c>
      <c r="I78" s="41"/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>
        <v>1666.6666666666667</v>
      </c>
      <c r="AD78" s="21">
        <v>1666.6666666666667</v>
      </c>
      <c r="AE78" s="21">
        <v>1666.6666666666667</v>
      </c>
      <c r="AF78" s="21">
        <v>1666.6666666666667</v>
      </c>
      <c r="AG78" s="21">
        <v>1666.6666666666667</v>
      </c>
      <c r="AH78" s="21">
        <v>1666.6666666666667</v>
      </c>
      <c r="AI78" s="21"/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30">
        <v>1</v>
      </c>
      <c r="BG78" s="30">
        <v>1</v>
      </c>
      <c r="BH78" s="30">
        <v>1</v>
      </c>
      <c r="BI78" s="30">
        <v>1</v>
      </c>
      <c r="BJ78" s="30">
        <v>1</v>
      </c>
      <c r="BK78" s="30">
        <v>1</v>
      </c>
      <c r="BL78" s="30">
        <v>1</v>
      </c>
      <c r="BM78" s="30">
        <v>1</v>
      </c>
      <c r="BN78" s="30">
        <v>1</v>
      </c>
      <c r="BO78" s="30">
        <v>1</v>
      </c>
      <c r="BP78" s="30">
        <v>1</v>
      </c>
      <c r="BQ78" s="30">
        <v>1</v>
      </c>
      <c r="BR78" s="30">
        <v>1</v>
      </c>
      <c r="BS78" s="30">
        <v>1</v>
      </c>
      <c r="BT78" s="30">
        <v>1</v>
      </c>
      <c r="BU78" s="30">
        <v>1</v>
      </c>
      <c r="BV78" s="30">
        <v>1</v>
      </c>
      <c r="BW78" s="30">
        <v>1</v>
      </c>
      <c r="BX78" s="30">
        <v>1</v>
      </c>
      <c r="BY78" s="30">
        <v>1</v>
      </c>
      <c r="BZ78" s="30">
        <v>1</v>
      </c>
      <c r="CA78" s="30">
        <v>1</v>
      </c>
      <c r="CB78" s="30">
        <v>1</v>
      </c>
      <c r="CC78" s="30">
        <v>1</v>
      </c>
      <c r="CD78" s="30">
        <v>1</v>
      </c>
      <c r="CE78" s="30">
        <v>1</v>
      </c>
      <c r="CF78" s="30">
        <v>1</v>
      </c>
      <c r="CG78" s="30">
        <v>1</v>
      </c>
      <c r="CH78" s="30">
        <v>1</v>
      </c>
      <c r="CI78" s="30">
        <v>1</v>
      </c>
      <c r="CJ78" s="30">
        <v>1</v>
      </c>
      <c r="CK78" s="30">
        <v>1</v>
      </c>
      <c r="CL78" s="30">
        <v>1</v>
      </c>
      <c r="CM78" s="30">
        <v>1</v>
      </c>
      <c r="CN78" s="30">
        <v>1</v>
      </c>
      <c r="CO78" s="30">
        <v>1</v>
      </c>
      <c r="CP78" s="30">
        <v>1</v>
      </c>
      <c r="CQ78" s="30">
        <v>1</v>
      </c>
      <c r="CR78" s="30">
        <v>1</v>
      </c>
      <c r="CS78" s="30">
        <v>1</v>
      </c>
      <c r="CT78" s="30">
        <v>1</v>
      </c>
      <c r="CU78" s="30">
        <v>1</v>
      </c>
      <c r="CV78" s="30">
        <v>1</v>
      </c>
      <c r="CW78" s="30">
        <v>1</v>
      </c>
      <c r="CX78" s="30">
        <v>1</v>
      </c>
      <c r="CY78" s="30">
        <v>1</v>
      </c>
      <c r="CZ78" s="30">
        <v>1</v>
      </c>
      <c r="DA78" s="30">
        <v>1</v>
      </c>
    </row>
    <row r="79" spans="1:105" x14ac:dyDescent="0.3">
      <c r="A79" s="34" t="str">
        <f t="shared" si="3"/>
        <v>Induri - ShellSilk Bubbly Large SEA</v>
      </c>
      <c r="B79" s="20" t="s">
        <v>82</v>
      </c>
      <c r="C79" s="20" t="s">
        <v>11</v>
      </c>
      <c r="D79" s="19" t="s">
        <v>40</v>
      </c>
      <c r="E79" s="18" t="s">
        <v>60</v>
      </c>
      <c r="F79" s="30">
        <v>5</v>
      </c>
      <c r="G79" s="30">
        <v>1</v>
      </c>
      <c r="H79" s="30">
        <v>30</v>
      </c>
      <c r="I79" s="41"/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>
        <v>791.66666666666663</v>
      </c>
      <c r="AD79" s="21">
        <v>791.66666666666663</v>
      </c>
      <c r="AE79" s="21">
        <v>791.66666666666663</v>
      </c>
      <c r="AF79" s="21">
        <v>791.66666666666663</v>
      </c>
      <c r="AG79" s="21">
        <v>791.66666666666663</v>
      </c>
      <c r="AH79" s="21">
        <v>791.66666666666663</v>
      </c>
      <c r="AI79" s="21"/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30">
        <v>1</v>
      </c>
      <c r="BG79" s="30">
        <v>1</v>
      </c>
      <c r="BH79" s="30">
        <v>1</v>
      </c>
      <c r="BI79" s="30">
        <v>1</v>
      </c>
      <c r="BJ79" s="30">
        <v>1</v>
      </c>
      <c r="BK79" s="30">
        <v>1</v>
      </c>
      <c r="BL79" s="30">
        <v>1</v>
      </c>
      <c r="BM79" s="30">
        <v>1</v>
      </c>
      <c r="BN79" s="30">
        <v>1</v>
      </c>
      <c r="BO79" s="30">
        <v>1</v>
      </c>
      <c r="BP79" s="30">
        <v>1</v>
      </c>
      <c r="BQ79" s="30">
        <v>1</v>
      </c>
      <c r="BR79" s="30">
        <v>1</v>
      </c>
      <c r="BS79" s="30">
        <v>1</v>
      </c>
      <c r="BT79" s="30">
        <v>1</v>
      </c>
      <c r="BU79" s="30">
        <v>1</v>
      </c>
      <c r="BV79" s="30">
        <v>1</v>
      </c>
      <c r="BW79" s="30">
        <v>1</v>
      </c>
      <c r="BX79" s="30">
        <v>1</v>
      </c>
      <c r="BY79" s="30">
        <v>1</v>
      </c>
      <c r="BZ79" s="30">
        <v>1</v>
      </c>
      <c r="CA79" s="30">
        <v>1</v>
      </c>
      <c r="CB79" s="30">
        <v>1</v>
      </c>
      <c r="CC79" s="30">
        <v>1</v>
      </c>
      <c r="CD79" s="30">
        <v>1</v>
      </c>
      <c r="CE79" s="30">
        <v>1</v>
      </c>
      <c r="CF79" s="30">
        <v>1</v>
      </c>
      <c r="CG79" s="30">
        <v>1</v>
      </c>
      <c r="CH79" s="30">
        <v>1</v>
      </c>
      <c r="CI79" s="30">
        <v>1</v>
      </c>
      <c r="CJ79" s="30">
        <v>1</v>
      </c>
      <c r="CK79" s="30">
        <v>1</v>
      </c>
      <c r="CL79" s="30">
        <v>1</v>
      </c>
      <c r="CM79" s="30">
        <v>1</v>
      </c>
      <c r="CN79" s="30">
        <v>1</v>
      </c>
      <c r="CO79" s="30">
        <v>1</v>
      </c>
      <c r="CP79" s="30">
        <v>1</v>
      </c>
      <c r="CQ79" s="30">
        <v>1</v>
      </c>
      <c r="CR79" s="30">
        <v>1</v>
      </c>
      <c r="CS79" s="30">
        <v>1</v>
      </c>
      <c r="CT79" s="30">
        <v>1</v>
      </c>
      <c r="CU79" s="30">
        <v>1</v>
      </c>
      <c r="CV79" s="30">
        <v>1</v>
      </c>
      <c r="CW79" s="30">
        <v>1</v>
      </c>
      <c r="CX79" s="30">
        <v>1</v>
      </c>
      <c r="CY79" s="30">
        <v>1</v>
      </c>
      <c r="CZ79" s="30">
        <v>1</v>
      </c>
      <c r="DA79" s="30">
        <v>1</v>
      </c>
    </row>
    <row r="80" spans="1:105" x14ac:dyDescent="0.3">
      <c r="A80" s="34" t="str">
        <f t="shared" si="3"/>
        <v>Sricity - NMLSilk Bubbly Large SEA</v>
      </c>
      <c r="B80" s="20" t="s">
        <v>81</v>
      </c>
      <c r="C80" s="20" t="s">
        <v>17</v>
      </c>
      <c r="D80" s="19" t="s">
        <v>40</v>
      </c>
      <c r="E80" s="18" t="s">
        <v>60</v>
      </c>
      <c r="F80" s="30">
        <v>4</v>
      </c>
      <c r="G80" s="30">
        <v>1</v>
      </c>
      <c r="H80" s="30">
        <v>30</v>
      </c>
      <c r="I80" s="41"/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>
        <v>1666.6666666666667</v>
      </c>
      <c r="AD80" s="21">
        <v>1666.6666666666667</v>
      </c>
      <c r="AE80" s="21">
        <v>1666.6666666666667</v>
      </c>
      <c r="AF80" s="21">
        <v>1666.6666666666667</v>
      </c>
      <c r="AG80" s="21">
        <v>1666.6666666666667</v>
      </c>
      <c r="AH80" s="21">
        <v>1666.6666666666667</v>
      </c>
      <c r="AI80" s="21"/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30">
        <v>1</v>
      </c>
      <c r="BG80" s="30">
        <v>1</v>
      </c>
      <c r="BH80" s="30">
        <v>1</v>
      </c>
      <c r="BI80" s="30">
        <v>1</v>
      </c>
      <c r="BJ80" s="30">
        <v>1</v>
      </c>
      <c r="BK80" s="30">
        <v>1</v>
      </c>
      <c r="BL80" s="30">
        <v>1</v>
      </c>
      <c r="BM80" s="30">
        <v>1</v>
      </c>
      <c r="BN80" s="30">
        <v>1</v>
      </c>
      <c r="BO80" s="30">
        <v>1</v>
      </c>
      <c r="BP80" s="30">
        <v>1</v>
      </c>
      <c r="BQ80" s="30">
        <v>1</v>
      </c>
      <c r="BR80" s="30">
        <v>1</v>
      </c>
      <c r="BS80" s="30">
        <v>1</v>
      </c>
      <c r="BT80" s="30">
        <v>1</v>
      </c>
      <c r="BU80" s="30">
        <v>1</v>
      </c>
      <c r="BV80" s="30">
        <v>1</v>
      </c>
      <c r="BW80" s="30">
        <v>1</v>
      </c>
      <c r="BX80" s="30">
        <v>1</v>
      </c>
      <c r="BY80" s="30">
        <v>1</v>
      </c>
      <c r="BZ80" s="30">
        <v>1</v>
      </c>
      <c r="CA80" s="30">
        <v>1</v>
      </c>
      <c r="CB80" s="30">
        <v>1</v>
      </c>
      <c r="CC80" s="30">
        <v>1</v>
      </c>
      <c r="CD80" s="30">
        <v>1</v>
      </c>
      <c r="CE80" s="30">
        <v>1</v>
      </c>
      <c r="CF80" s="30">
        <v>1</v>
      </c>
      <c r="CG80" s="30">
        <v>1</v>
      </c>
      <c r="CH80" s="30">
        <v>1</v>
      </c>
      <c r="CI80" s="30">
        <v>1</v>
      </c>
      <c r="CJ80" s="30">
        <v>1</v>
      </c>
      <c r="CK80" s="30">
        <v>1</v>
      </c>
      <c r="CL80" s="30">
        <v>1</v>
      </c>
      <c r="CM80" s="30">
        <v>1</v>
      </c>
      <c r="CN80" s="30">
        <v>1</v>
      </c>
      <c r="CO80" s="30">
        <v>1</v>
      </c>
      <c r="CP80" s="30">
        <v>1</v>
      </c>
      <c r="CQ80" s="30">
        <v>1</v>
      </c>
      <c r="CR80" s="30">
        <v>1</v>
      </c>
      <c r="CS80" s="30">
        <v>1</v>
      </c>
      <c r="CT80" s="30">
        <v>1</v>
      </c>
      <c r="CU80" s="30">
        <v>1</v>
      </c>
      <c r="CV80" s="30">
        <v>1</v>
      </c>
      <c r="CW80" s="30">
        <v>1</v>
      </c>
      <c r="CX80" s="30">
        <v>1</v>
      </c>
      <c r="CY80" s="30">
        <v>1</v>
      </c>
      <c r="CZ80" s="30">
        <v>1</v>
      </c>
      <c r="DA80" s="30">
        <v>1</v>
      </c>
    </row>
    <row r="81" spans="1:105" x14ac:dyDescent="0.3">
      <c r="A81" s="34" t="str">
        <f t="shared" si="3"/>
        <v>Induri - ShellSilk Bubbly Small</v>
      </c>
      <c r="B81" s="20" t="s">
        <v>82</v>
      </c>
      <c r="C81" s="20" t="s">
        <v>11</v>
      </c>
      <c r="D81" s="19" t="s">
        <v>40</v>
      </c>
      <c r="E81" s="18" t="s">
        <v>57</v>
      </c>
      <c r="F81" s="30">
        <v>6</v>
      </c>
      <c r="G81" s="30">
        <v>3</v>
      </c>
      <c r="H81" s="30">
        <v>30</v>
      </c>
      <c r="I81" s="41"/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>
        <v>834.62400000000014</v>
      </c>
      <c r="AD81" s="21">
        <v>834.62400000000014</v>
      </c>
      <c r="AE81" s="21">
        <v>834.62400000000014</v>
      </c>
      <c r="AF81" s="21">
        <v>834.62400000000014</v>
      </c>
      <c r="AG81" s="21">
        <v>834.62400000000014</v>
      </c>
      <c r="AH81" s="21">
        <v>834.62400000000014</v>
      </c>
      <c r="AI81" s="21"/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30">
        <v>1</v>
      </c>
      <c r="BG81" s="30">
        <v>1</v>
      </c>
      <c r="BH81" s="30">
        <v>1</v>
      </c>
      <c r="BI81" s="30">
        <v>1</v>
      </c>
      <c r="BJ81" s="30">
        <v>1</v>
      </c>
      <c r="BK81" s="30">
        <v>1</v>
      </c>
      <c r="BL81" s="30">
        <v>1</v>
      </c>
      <c r="BM81" s="30">
        <v>1</v>
      </c>
      <c r="BN81" s="30">
        <v>1</v>
      </c>
      <c r="BO81" s="30">
        <v>1</v>
      </c>
      <c r="BP81" s="30">
        <v>1</v>
      </c>
      <c r="BQ81" s="30">
        <v>1</v>
      </c>
      <c r="BR81" s="30">
        <v>1</v>
      </c>
      <c r="BS81" s="30">
        <v>1</v>
      </c>
      <c r="BT81" s="30">
        <v>1</v>
      </c>
      <c r="BU81" s="30">
        <v>1</v>
      </c>
      <c r="BV81" s="30">
        <v>1</v>
      </c>
      <c r="BW81" s="30">
        <v>1</v>
      </c>
      <c r="BX81" s="30">
        <v>1</v>
      </c>
      <c r="BY81" s="30">
        <v>1</v>
      </c>
      <c r="BZ81" s="30">
        <v>1</v>
      </c>
      <c r="CA81" s="30">
        <v>1</v>
      </c>
      <c r="CB81" s="30">
        <v>1</v>
      </c>
      <c r="CC81" s="30">
        <v>1</v>
      </c>
      <c r="CD81" s="30">
        <v>1</v>
      </c>
      <c r="CE81" s="30">
        <v>1</v>
      </c>
      <c r="CF81" s="30">
        <v>1</v>
      </c>
      <c r="CG81" s="30">
        <v>1</v>
      </c>
      <c r="CH81" s="30">
        <v>1</v>
      </c>
      <c r="CI81" s="30">
        <v>1</v>
      </c>
      <c r="CJ81" s="30">
        <v>1</v>
      </c>
      <c r="CK81" s="30">
        <v>1</v>
      </c>
      <c r="CL81" s="30">
        <v>1</v>
      </c>
      <c r="CM81" s="30">
        <v>1</v>
      </c>
      <c r="CN81" s="30">
        <v>1</v>
      </c>
      <c r="CO81" s="30">
        <v>1</v>
      </c>
      <c r="CP81" s="30">
        <v>1</v>
      </c>
      <c r="CQ81" s="30">
        <v>1</v>
      </c>
      <c r="CR81" s="30">
        <v>1</v>
      </c>
      <c r="CS81" s="30">
        <v>1</v>
      </c>
      <c r="CT81" s="30">
        <v>1</v>
      </c>
      <c r="CU81" s="30">
        <v>1</v>
      </c>
      <c r="CV81" s="30">
        <v>1</v>
      </c>
      <c r="CW81" s="30">
        <v>1</v>
      </c>
      <c r="CX81" s="30">
        <v>1</v>
      </c>
      <c r="CY81" s="30">
        <v>1</v>
      </c>
      <c r="CZ81" s="30">
        <v>1</v>
      </c>
      <c r="DA81" s="30">
        <v>1</v>
      </c>
    </row>
    <row r="82" spans="1:105" x14ac:dyDescent="0.3">
      <c r="A82" s="34" t="str">
        <f t="shared" si="3"/>
        <v>Sricity - NMLSilk Bubbly Small</v>
      </c>
      <c r="B82" s="20" t="s">
        <v>81</v>
      </c>
      <c r="C82" s="20" t="s">
        <v>17</v>
      </c>
      <c r="D82" s="19" t="s">
        <v>40</v>
      </c>
      <c r="E82" s="18" t="s">
        <v>57</v>
      </c>
      <c r="F82" s="30">
        <v>2</v>
      </c>
      <c r="G82" s="30">
        <v>3</v>
      </c>
      <c r="H82" s="30">
        <v>30</v>
      </c>
      <c r="I82" s="41"/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>
        <v>916.66666666666663</v>
      </c>
      <c r="AD82" s="21">
        <v>916.66666666666663</v>
      </c>
      <c r="AE82" s="21">
        <v>916.66666666666663</v>
      </c>
      <c r="AF82" s="21">
        <v>916.66666666666663</v>
      </c>
      <c r="AG82" s="21">
        <v>916.66666666666663</v>
      </c>
      <c r="AH82" s="21">
        <v>916.66666666666663</v>
      </c>
      <c r="AI82" s="21"/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30">
        <v>1</v>
      </c>
      <c r="BG82" s="30">
        <v>1</v>
      </c>
      <c r="BH82" s="30">
        <v>1</v>
      </c>
      <c r="BI82" s="30">
        <v>1</v>
      </c>
      <c r="BJ82" s="30">
        <v>1</v>
      </c>
      <c r="BK82" s="30">
        <v>1</v>
      </c>
      <c r="BL82" s="30">
        <v>1</v>
      </c>
      <c r="BM82" s="30">
        <v>1</v>
      </c>
      <c r="BN82" s="30">
        <v>1</v>
      </c>
      <c r="BO82" s="30">
        <v>1</v>
      </c>
      <c r="BP82" s="30">
        <v>1</v>
      </c>
      <c r="BQ82" s="30">
        <v>1</v>
      </c>
      <c r="BR82" s="30">
        <v>1</v>
      </c>
      <c r="BS82" s="30">
        <v>1</v>
      </c>
      <c r="BT82" s="30">
        <v>1</v>
      </c>
      <c r="BU82" s="30">
        <v>1</v>
      </c>
      <c r="BV82" s="30">
        <v>1</v>
      </c>
      <c r="BW82" s="30">
        <v>1</v>
      </c>
      <c r="BX82" s="30">
        <v>1</v>
      </c>
      <c r="BY82" s="30">
        <v>1</v>
      </c>
      <c r="BZ82" s="30">
        <v>1</v>
      </c>
      <c r="CA82" s="30">
        <v>1</v>
      </c>
      <c r="CB82" s="30">
        <v>1</v>
      </c>
      <c r="CC82" s="30">
        <v>1</v>
      </c>
      <c r="CD82" s="30">
        <v>1</v>
      </c>
      <c r="CE82" s="30">
        <v>1</v>
      </c>
      <c r="CF82" s="30">
        <v>1</v>
      </c>
      <c r="CG82" s="30">
        <v>1</v>
      </c>
      <c r="CH82" s="30">
        <v>1</v>
      </c>
      <c r="CI82" s="30">
        <v>1</v>
      </c>
      <c r="CJ82" s="30">
        <v>1</v>
      </c>
      <c r="CK82" s="30">
        <v>1</v>
      </c>
      <c r="CL82" s="30">
        <v>1</v>
      </c>
      <c r="CM82" s="30">
        <v>1</v>
      </c>
      <c r="CN82" s="30">
        <v>1</v>
      </c>
      <c r="CO82" s="30">
        <v>1</v>
      </c>
      <c r="CP82" s="30">
        <v>1</v>
      </c>
      <c r="CQ82" s="30">
        <v>1</v>
      </c>
      <c r="CR82" s="30">
        <v>1</v>
      </c>
      <c r="CS82" s="30">
        <v>1</v>
      </c>
      <c r="CT82" s="30">
        <v>1</v>
      </c>
      <c r="CU82" s="30">
        <v>1</v>
      </c>
      <c r="CV82" s="30">
        <v>1</v>
      </c>
      <c r="CW82" s="30">
        <v>1</v>
      </c>
      <c r="CX82" s="30">
        <v>1</v>
      </c>
      <c r="CY82" s="30">
        <v>1</v>
      </c>
      <c r="CZ82" s="30">
        <v>1</v>
      </c>
      <c r="DA82" s="30">
        <v>1</v>
      </c>
    </row>
    <row r="83" spans="1:105" x14ac:dyDescent="0.3">
      <c r="A83" s="34" t="str">
        <f t="shared" si="3"/>
        <v>Induri - ShellSilk Bubbly Small NEPAL</v>
      </c>
      <c r="B83" s="20" t="s">
        <v>82</v>
      </c>
      <c r="C83" s="20" t="s">
        <v>11</v>
      </c>
      <c r="D83" s="19" t="s">
        <v>40</v>
      </c>
      <c r="E83" s="18" t="s">
        <v>234</v>
      </c>
      <c r="F83" s="30">
        <v>6</v>
      </c>
      <c r="G83" s="30">
        <v>1</v>
      </c>
      <c r="H83" s="30">
        <v>30</v>
      </c>
      <c r="I83" s="41"/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>
        <v>834.62400000000014</v>
      </c>
      <c r="AD83" s="21">
        <v>834.62400000000014</v>
      </c>
      <c r="AE83" s="21">
        <v>834.62400000000014</v>
      </c>
      <c r="AF83" s="21">
        <v>834.62400000000014</v>
      </c>
      <c r="AG83" s="21">
        <v>834.62400000000014</v>
      </c>
      <c r="AH83" s="21">
        <v>834.62400000000014</v>
      </c>
      <c r="AI83" s="21"/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30">
        <v>1</v>
      </c>
      <c r="BG83" s="30">
        <v>1</v>
      </c>
      <c r="BH83" s="30">
        <v>1</v>
      </c>
      <c r="BI83" s="30">
        <v>1</v>
      </c>
      <c r="BJ83" s="30">
        <v>1</v>
      </c>
      <c r="BK83" s="30">
        <v>1</v>
      </c>
      <c r="BL83" s="30">
        <v>1</v>
      </c>
      <c r="BM83" s="30">
        <v>1</v>
      </c>
      <c r="BN83" s="30">
        <v>1</v>
      </c>
      <c r="BO83" s="30">
        <v>1</v>
      </c>
      <c r="BP83" s="30">
        <v>1</v>
      </c>
      <c r="BQ83" s="30">
        <v>1</v>
      </c>
      <c r="BR83" s="30">
        <v>1</v>
      </c>
      <c r="BS83" s="30">
        <v>1</v>
      </c>
      <c r="BT83" s="30">
        <v>1</v>
      </c>
      <c r="BU83" s="30">
        <v>1</v>
      </c>
      <c r="BV83" s="30">
        <v>1</v>
      </c>
      <c r="BW83" s="30">
        <v>1</v>
      </c>
      <c r="BX83" s="30">
        <v>1</v>
      </c>
      <c r="BY83" s="30">
        <v>1</v>
      </c>
      <c r="BZ83" s="30">
        <v>1</v>
      </c>
      <c r="CA83" s="30">
        <v>1</v>
      </c>
      <c r="CB83" s="30">
        <v>1</v>
      </c>
      <c r="CC83" s="30">
        <v>1</v>
      </c>
      <c r="CD83" s="30">
        <v>1</v>
      </c>
      <c r="CE83" s="30">
        <v>1</v>
      </c>
      <c r="CF83" s="30">
        <v>1</v>
      </c>
      <c r="CG83" s="30">
        <v>1</v>
      </c>
      <c r="CH83" s="30">
        <v>1</v>
      </c>
      <c r="CI83" s="30">
        <v>1</v>
      </c>
      <c r="CJ83" s="30">
        <v>1</v>
      </c>
      <c r="CK83" s="30">
        <v>1</v>
      </c>
      <c r="CL83" s="30">
        <v>1</v>
      </c>
      <c r="CM83" s="30">
        <v>1</v>
      </c>
      <c r="CN83" s="30">
        <v>1</v>
      </c>
      <c r="CO83" s="30">
        <v>1</v>
      </c>
      <c r="CP83" s="30">
        <v>1</v>
      </c>
      <c r="CQ83" s="30">
        <v>1</v>
      </c>
      <c r="CR83" s="30">
        <v>1</v>
      </c>
      <c r="CS83" s="30">
        <v>1</v>
      </c>
      <c r="CT83" s="30">
        <v>1</v>
      </c>
      <c r="CU83" s="30">
        <v>1</v>
      </c>
      <c r="CV83" s="30">
        <v>1</v>
      </c>
      <c r="CW83" s="30">
        <v>1</v>
      </c>
      <c r="CX83" s="30">
        <v>1</v>
      </c>
      <c r="CY83" s="30">
        <v>1</v>
      </c>
      <c r="CZ83" s="30">
        <v>1</v>
      </c>
      <c r="DA83" s="30">
        <v>1</v>
      </c>
    </row>
    <row r="84" spans="1:105" x14ac:dyDescent="0.3">
      <c r="A84" s="34" t="str">
        <f t="shared" si="3"/>
        <v>Sricity - NMLSilk Bubbly Small NEPAL</v>
      </c>
      <c r="B84" s="20" t="s">
        <v>81</v>
      </c>
      <c r="C84" s="20" t="s">
        <v>17</v>
      </c>
      <c r="D84" s="19" t="s">
        <v>40</v>
      </c>
      <c r="E84" s="18" t="s">
        <v>234</v>
      </c>
      <c r="F84" s="30">
        <v>2</v>
      </c>
      <c r="G84" s="30">
        <v>1</v>
      </c>
      <c r="H84" s="30">
        <v>30</v>
      </c>
      <c r="I84" s="41"/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>
        <v>916.66666666666663</v>
      </c>
      <c r="AD84" s="21">
        <v>916.66666666666663</v>
      </c>
      <c r="AE84" s="21">
        <v>916.66666666666663</v>
      </c>
      <c r="AF84" s="21">
        <v>916.66666666666663</v>
      </c>
      <c r="AG84" s="21">
        <v>916.66666666666663</v>
      </c>
      <c r="AH84" s="21">
        <v>916.66666666666663</v>
      </c>
      <c r="AI84" s="21"/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30">
        <v>1</v>
      </c>
      <c r="BG84" s="30">
        <v>1</v>
      </c>
      <c r="BH84" s="30">
        <v>1</v>
      </c>
      <c r="BI84" s="30">
        <v>1</v>
      </c>
      <c r="BJ84" s="30">
        <v>1</v>
      </c>
      <c r="BK84" s="30">
        <v>1</v>
      </c>
      <c r="BL84" s="30">
        <v>1</v>
      </c>
      <c r="BM84" s="30">
        <v>1</v>
      </c>
      <c r="BN84" s="30">
        <v>1</v>
      </c>
      <c r="BO84" s="30">
        <v>1</v>
      </c>
      <c r="BP84" s="30">
        <v>1</v>
      </c>
      <c r="BQ84" s="30">
        <v>1</v>
      </c>
      <c r="BR84" s="30">
        <v>1</v>
      </c>
      <c r="BS84" s="30">
        <v>1</v>
      </c>
      <c r="BT84" s="30">
        <v>1</v>
      </c>
      <c r="BU84" s="30">
        <v>1</v>
      </c>
      <c r="BV84" s="30">
        <v>1</v>
      </c>
      <c r="BW84" s="30">
        <v>1</v>
      </c>
      <c r="BX84" s="30">
        <v>1</v>
      </c>
      <c r="BY84" s="30">
        <v>1</v>
      </c>
      <c r="BZ84" s="30">
        <v>1</v>
      </c>
      <c r="CA84" s="30">
        <v>1</v>
      </c>
      <c r="CB84" s="30">
        <v>1</v>
      </c>
      <c r="CC84" s="30">
        <v>1</v>
      </c>
      <c r="CD84" s="30">
        <v>1</v>
      </c>
      <c r="CE84" s="30">
        <v>1</v>
      </c>
      <c r="CF84" s="30">
        <v>1</v>
      </c>
      <c r="CG84" s="30">
        <v>1</v>
      </c>
      <c r="CH84" s="30">
        <v>1</v>
      </c>
      <c r="CI84" s="30">
        <v>1</v>
      </c>
      <c r="CJ84" s="30">
        <v>1</v>
      </c>
      <c r="CK84" s="30">
        <v>1</v>
      </c>
      <c r="CL84" s="30">
        <v>1</v>
      </c>
      <c r="CM84" s="30">
        <v>1</v>
      </c>
      <c r="CN84" s="30">
        <v>1</v>
      </c>
      <c r="CO84" s="30">
        <v>1</v>
      </c>
      <c r="CP84" s="30">
        <v>1</v>
      </c>
      <c r="CQ84" s="30">
        <v>1</v>
      </c>
      <c r="CR84" s="30">
        <v>1</v>
      </c>
      <c r="CS84" s="30">
        <v>1</v>
      </c>
      <c r="CT84" s="30">
        <v>1</v>
      </c>
      <c r="CU84" s="30">
        <v>1</v>
      </c>
      <c r="CV84" s="30">
        <v>1</v>
      </c>
      <c r="CW84" s="30">
        <v>1</v>
      </c>
      <c r="CX84" s="30">
        <v>1</v>
      </c>
      <c r="CY84" s="30">
        <v>1</v>
      </c>
      <c r="CZ84" s="30">
        <v>1</v>
      </c>
      <c r="DA84" s="30">
        <v>1</v>
      </c>
    </row>
    <row r="85" spans="1:105" x14ac:dyDescent="0.3">
      <c r="A85" s="34" t="str">
        <f t="shared" si="3"/>
        <v>Induri - ShellSilk Bubbly Small SEA</v>
      </c>
      <c r="B85" s="20" t="s">
        <v>82</v>
      </c>
      <c r="C85" s="20" t="s">
        <v>11</v>
      </c>
      <c r="D85" s="19" t="s">
        <v>40</v>
      </c>
      <c r="E85" s="18" t="s">
        <v>59</v>
      </c>
      <c r="F85" s="30">
        <v>6</v>
      </c>
      <c r="G85" s="30">
        <v>1</v>
      </c>
      <c r="H85" s="30">
        <v>30</v>
      </c>
      <c r="I85" s="41"/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>
        <v>833.33333333333337</v>
      </c>
      <c r="AD85" s="21">
        <v>833.33333333333337</v>
      </c>
      <c r="AE85" s="21">
        <v>833.33333333333337</v>
      </c>
      <c r="AF85" s="21">
        <v>833.33333333333337</v>
      </c>
      <c r="AG85" s="21">
        <v>833.33333333333337</v>
      </c>
      <c r="AH85" s="21">
        <v>833.33333333333337</v>
      </c>
      <c r="AI85" s="21"/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30">
        <v>1</v>
      </c>
      <c r="BG85" s="30">
        <v>1</v>
      </c>
      <c r="BH85" s="30">
        <v>1</v>
      </c>
      <c r="BI85" s="30">
        <v>1</v>
      </c>
      <c r="BJ85" s="30">
        <v>1</v>
      </c>
      <c r="BK85" s="30">
        <v>1</v>
      </c>
      <c r="BL85" s="30">
        <v>1</v>
      </c>
      <c r="BM85" s="30">
        <v>1</v>
      </c>
      <c r="BN85" s="30">
        <v>1</v>
      </c>
      <c r="BO85" s="30">
        <v>1</v>
      </c>
      <c r="BP85" s="30">
        <v>1</v>
      </c>
      <c r="BQ85" s="30">
        <v>1</v>
      </c>
      <c r="BR85" s="30">
        <v>1</v>
      </c>
      <c r="BS85" s="30">
        <v>1</v>
      </c>
      <c r="BT85" s="30">
        <v>1</v>
      </c>
      <c r="BU85" s="30">
        <v>1</v>
      </c>
      <c r="BV85" s="30">
        <v>1</v>
      </c>
      <c r="BW85" s="30">
        <v>1</v>
      </c>
      <c r="BX85" s="30">
        <v>1</v>
      </c>
      <c r="BY85" s="30">
        <v>1</v>
      </c>
      <c r="BZ85" s="30">
        <v>1</v>
      </c>
      <c r="CA85" s="30">
        <v>1</v>
      </c>
      <c r="CB85" s="30">
        <v>1</v>
      </c>
      <c r="CC85" s="30">
        <v>1</v>
      </c>
      <c r="CD85" s="30">
        <v>1</v>
      </c>
      <c r="CE85" s="30">
        <v>1</v>
      </c>
      <c r="CF85" s="30">
        <v>1</v>
      </c>
      <c r="CG85" s="30">
        <v>1</v>
      </c>
      <c r="CH85" s="30">
        <v>1</v>
      </c>
      <c r="CI85" s="30">
        <v>1</v>
      </c>
      <c r="CJ85" s="30">
        <v>1</v>
      </c>
      <c r="CK85" s="30">
        <v>1</v>
      </c>
      <c r="CL85" s="30">
        <v>1</v>
      </c>
      <c r="CM85" s="30">
        <v>1</v>
      </c>
      <c r="CN85" s="30">
        <v>1</v>
      </c>
      <c r="CO85" s="30">
        <v>1</v>
      </c>
      <c r="CP85" s="30">
        <v>1</v>
      </c>
      <c r="CQ85" s="30">
        <v>1</v>
      </c>
      <c r="CR85" s="30">
        <v>1</v>
      </c>
      <c r="CS85" s="30">
        <v>1</v>
      </c>
      <c r="CT85" s="30">
        <v>1</v>
      </c>
      <c r="CU85" s="30">
        <v>1</v>
      </c>
      <c r="CV85" s="30">
        <v>1</v>
      </c>
      <c r="CW85" s="30">
        <v>1</v>
      </c>
      <c r="CX85" s="30">
        <v>1</v>
      </c>
      <c r="CY85" s="30">
        <v>1</v>
      </c>
      <c r="CZ85" s="30">
        <v>1</v>
      </c>
      <c r="DA85" s="30">
        <v>1</v>
      </c>
    </row>
    <row r="86" spans="1:105" x14ac:dyDescent="0.3">
      <c r="A86" s="34" t="str">
        <f t="shared" si="3"/>
        <v>Sricity - NMLSilk Bubbly Small SEA</v>
      </c>
      <c r="B86" s="20" t="s">
        <v>81</v>
      </c>
      <c r="C86" s="20" t="s">
        <v>17</v>
      </c>
      <c r="D86" s="19" t="s">
        <v>40</v>
      </c>
      <c r="E86" s="18" t="s">
        <v>59</v>
      </c>
      <c r="F86" s="30">
        <v>2</v>
      </c>
      <c r="G86" s="30">
        <v>1</v>
      </c>
      <c r="H86" s="30">
        <v>30</v>
      </c>
      <c r="I86" s="41"/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>
        <v>916.66666666666663</v>
      </c>
      <c r="AD86" s="21">
        <v>916.66666666666663</v>
      </c>
      <c r="AE86" s="21">
        <v>916.66666666666663</v>
      </c>
      <c r="AF86" s="21">
        <v>916.66666666666663</v>
      </c>
      <c r="AG86" s="21">
        <v>916.66666666666663</v>
      </c>
      <c r="AH86" s="21">
        <v>916.66666666666663</v>
      </c>
      <c r="AI86" s="21"/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30">
        <v>1</v>
      </c>
      <c r="BG86" s="30">
        <v>1</v>
      </c>
      <c r="BH86" s="30">
        <v>1</v>
      </c>
      <c r="BI86" s="30">
        <v>1</v>
      </c>
      <c r="BJ86" s="30">
        <v>1</v>
      </c>
      <c r="BK86" s="30">
        <v>1</v>
      </c>
      <c r="BL86" s="30">
        <v>1</v>
      </c>
      <c r="BM86" s="30">
        <v>1</v>
      </c>
      <c r="BN86" s="30">
        <v>1</v>
      </c>
      <c r="BO86" s="30">
        <v>1</v>
      </c>
      <c r="BP86" s="30">
        <v>1</v>
      </c>
      <c r="BQ86" s="30">
        <v>1</v>
      </c>
      <c r="BR86" s="30">
        <v>1</v>
      </c>
      <c r="BS86" s="30">
        <v>1</v>
      </c>
      <c r="BT86" s="30">
        <v>1</v>
      </c>
      <c r="BU86" s="30">
        <v>1</v>
      </c>
      <c r="BV86" s="30">
        <v>1</v>
      </c>
      <c r="BW86" s="30">
        <v>1</v>
      </c>
      <c r="BX86" s="30">
        <v>1</v>
      </c>
      <c r="BY86" s="30">
        <v>1</v>
      </c>
      <c r="BZ86" s="30">
        <v>1</v>
      </c>
      <c r="CA86" s="30">
        <v>1</v>
      </c>
      <c r="CB86" s="30">
        <v>1</v>
      </c>
      <c r="CC86" s="30">
        <v>1</v>
      </c>
      <c r="CD86" s="30">
        <v>1</v>
      </c>
      <c r="CE86" s="30">
        <v>1</v>
      </c>
      <c r="CF86" s="30">
        <v>1</v>
      </c>
      <c r="CG86" s="30">
        <v>1</v>
      </c>
      <c r="CH86" s="30">
        <v>1</v>
      </c>
      <c r="CI86" s="30">
        <v>1</v>
      </c>
      <c r="CJ86" s="30">
        <v>1</v>
      </c>
      <c r="CK86" s="30">
        <v>1</v>
      </c>
      <c r="CL86" s="30">
        <v>1</v>
      </c>
      <c r="CM86" s="30">
        <v>1</v>
      </c>
      <c r="CN86" s="30">
        <v>1</v>
      </c>
      <c r="CO86" s="30">
        <v>1</v>
      </c>
      <c r="CP86" s="30">
        <v>1</v>
      </c>
      <c r="CQ86" s="30">
        <v>1</v>
      </c>
      <c r="CR86" s="30">
        <v>1</v>
      </c>
      <c r="CS86" s="30">
        <v>1</v>
      </c>
      <c r="CT86" s="30">
        <v>1</v>
      </c>
      <c r="CU86" s="30">
        <v>1</v>
      </c>
      <c r="CV86" s="30">
        <v>1</v>
      </c>
      <c r="CW86" s="30">
        <v>1</v>
      </c>
      <c r="CX86" s="30">
        <v>1</v>
      </c>
      <c r="CY86" s="30">
        <v>1</v>
      </c>
      <c r="CZ86" s="30">
        <v>1</v>
      </c>
      <c r="DA86" s="30">
        <v>1</v>
      </c>
    </row>
    <row r="87" spans="1:105" x14ac:dyDescent="0.3">
      <c r="A87" s="34" t="str">
        <f t="shared" si="3"/>
        <v>Baddi - E4Silk F&amp;N Large</v>
      </c>
      <c r="B87" s="27" t="s">
        <v>83</v>
      </c>
      <c r="C87" s="20" t="s">
        <v>7</v>
      </c>
      <c r="D87" s="19" t="s">
        <v>40</v>
      </c>
      <c r="E87" s="18" t="s">
        <v>49</v>
      </c>
      <c r="F87" s="30">
        <v>13</v>
      </c>
      <c r="G87" s="30">
        <v>5</v>
      </c>
      <c r="H87" s="30">
        <v>30</v>
      </c>
      <c r="I87" s="41"/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>
        <v>1608.5766423357663</v>
      </c>
      <c r="AD87" s="21">
        <v>1608.5766423357663</v>
      </c>
      <c r="AE87" s="21">
        <v>1608.5766423357663</v>
      </c>
      <c r="AF87" s="21">
        <v>1608.5766423357663</v>
      </c>
      <c r="AG87" s="21">
        <v>1608.5766423357663</v>
      </c>
      <c r="AH87" s="21">
        <v>1608.5766423357663</v>
      </c>
      <c r="AI87" s="21"/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30">
        <v>1</v>
      </c>
      <c r="BG87" s="30">
        <v>1</v>
      </c>
      <c r="BH87" s="30">
        <v>1</v>
      </c>
      <c r="BI87" s="30">
        <v>1</v>
      </c>
      <c r="BJ87" s="30">
        <v>1</v>
      </c>
      <c r="BK87" s="30">
        <v>1</v>
      </c>
      <c r="BL87" s="30">
        <v>1</v>
      </c>
      <c r="BM87" s="30">
        <v>1</v>
      </c>
      <c r="BN87" s="30">
        <v>1</v>
      </c>
      <c r="BO87" s="30">
        <v>1</v>
      </c>
      <c r="BP87" s="30">
        <v>1</v>
      </c>
      <c r="BQ87" s="30">
        <v>1</v>
      </c>
      <c r="BR87" s="30">
        <v>1</v>
      </c>
      <c r="BS87" s="30">
        <v>1</v>
      </c>
      <c r="BT87" s="30">
        <v>1</v>
      </c>
      <c r="BU87" s="30">
        <v>1</v>
      </c>
      <c r="BV87" s="30">
        <v>1</v>
      </c>
      <c r="BW87" s="30">
        <v>1</v>
      </c>
      <c r="BX87" s="30">
        <v>1</v>
      </c>
      <c r="BY87" s="30">
        <v>1</v>
      </c>
      <c r="BZ87" s="30">
        <v>1</v>
      </c>
      <c r="CA87" s="30">
        <v>1</v>
      </c>
      <c r="CB87" s="30">
        <v>1</v>
      </c>
      <c r="CC87" s="30">
        <v>1</v>
      </c>
      <c r="CD87" s="30">
        <v>1</v>
      </c>
      <c r="CE87" s="30">
        <v>1</v>
      </c>
      <c r="CF87" s="30">
        <v>1</v>
      </c>
      <c r="CG87" s="30">
        <v>1</v>
      </c>
      <c r="CH87" s="30">
        <v>1</v>
      </c>
      <c r="CI87" s="30">
        <v>1</v>
      </c>
      <c r="CJ87" s="30">
        <v>1</v>
      </c>
      <c r="CK87" s="30">
        <v>1</v>
      </c>
      <c r="CL87" s="30">
        <v>1</v>
      </c>
      <c r="CM87" s="30">
        <v>1</v>
      </c>
      <c r="CN87" s="30">
        <v>1</v>
      </c>
      <c r="CO87" s="30">
        <v>1</v>
      </c>
      <c r="CP87" s="30">
        <v>1</v>
      </c>
      <c r="CQ87" s="30">
        <v>1</v>
      </c>
      <c r="CR87" s="30">
        <v>1</v>
      </c>
      <c r="CS87" s="30">
        <v>1</v>
      </c>
      <c r="CT87" s="30">
        <v>1</v>
      </c>
      <c r="CU87" s="30">
        <v>1</v>
      </c>
      <c r="CV87" s="30">
        <v>1</v>
      </c>
      <c r="CW87" s="30">
        <v>1</v>
      </c>
      <c r="CX87" s="30">
        <v>1</v>
      </c>
      <c r="CY87" s="30">
        <v>1</v>
      </c>
      <c r="CZ87" s="30">
        <v>1</v>
      </c>
      <c r="DA87" s="30">
        <v>1</v>
      </c>
    </row>
    <row r="88" spans="1:105" x14ac:dyDescent="0.3">
      <c r="A88" s="34" t="str">
        <f t="shared" si="3"/>
        <v>Baddi - E4Silk F&amp;N Large NEPAL</v>
      </c>
      <c r="B88" s="27" t="s">
        <v>83</v>
      </c>
      <c r="C88" s="20" t="s">
        <v>7</v>
      </c>
      <c r="D88" s="19" t="s">
        <v>40</v>
      </c>
      <c r="E88" s="18" t="s">
        <v>235</v>
      </c>
      <c r="F88" s="30">
        <v>13</v>
      </c>
      <c r="G88" s="30">
        <v>1</v>
      </c>
      <c r="H88" s="30">
        <v>30</v>
      </c>
      <c r="I88" s="41"/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>
        <v>1608.5766423357663</v>
      </c>
      <c r="AD88" s="21">
        <v>1608.5766423357663</v>
      </c>
      <c r="AE88" s="21">
        <v>1608.5766423357663</v>
      </c>
      <c r="AF88" s="21">
        <v>1608.5766423357663</v>
      </c>
      <c r="AG88" s="21">
        <v>1608.5766423357663</v>
      </c>
      <c r="AH88" s="21">
        <v>1608.5766423357663</v>
      </c>
      <c r="AI88" s="21"/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30">
        <v>1</v>
      </c>
      <c r="BG88" s="30">
        <v>1</v>
      </c>
      <c r="BH88" s="30">
        <v>1</v>
      </c>
      <c r="BI88" s="30">
        <v>1</v>
      </c>
      <c r="BJ88" s="30">
        <v>1</v>
      </c>
      <c r="BK88" s="30">
        <v>1</v>
      </c>
      <c r="BL88" s="30">
        <v>1</v>
      </c>
      <c r="BM88" s="30">
        <v>1</v>
      </c>
      <c r="BN88" s="30">
        <v>1</v>
      </c>
      <c r="BO88" s="30">
        <v>1</v>
      </c>
      <c r="BP88" s="30">
        <v>1</v>
      </c>
      <c r="BQ88" s="30">
        <v>1</v>
      </c>
      <c r="BR88" s="30">
        <v>1</v>
      </c>
      <c r="BS88" s="30">
        <v>1</v>
      </c>
      <c r="BT88" s="30">
        <v>1</v>
      </c>
      <c r="BU88" s="30">
        <v>1</v>
      </c>
      <c r="BV88" s="30">
        <v>1</v>
      </c>
      <c r="BW88" s="30">
        <v>1</v>
      </c>
      <c r="BX88" s="30">
        <v>1</v>
      </c>
      <c r="BY88" s="30">
        <v>1</v>
      </c>
      <c r="BZ88" s="30">
        <v>1</v>
      </c>
      <c r="CA88" s="30">
        <v>1</v>
      </c>
      <c r="CB88" s="30">
        <v>1</v>
      </c>
      <c r="CC88" s="30">
        <v>1</v>
      </c>
      <c r="CD88" s="30">
        <v>1</v>
      </c>
      <c r="CE88" s="30">
        <v>1</v>
      </c>
      <c r="CF88" s="30">
        <v>1</v>
      </c>
      <c r="CG88" s="30">
        <v>1</v>
      </c>
      <c r="CH88" s="30">
        <v>1</v>
      </c>
      <c r="CI88" s="30">
        <v>1</v>
      </c>
      <c r="CJ88" s="30">
        <v>1</v>
      </c>
      <c r="CK88" s="30">
        <v>1</v>
      </c>
      <c r="CL88" s="30">
        <v>1</v>
      </c>
      <c r="CM88" s="30">
        <v>1</v>
      </c>
      <c r="CN88" s="30">
        <v>1</v>
      </c>
      <c r="CO88" s="30">
        <v>1</v>
      </c>
      <c r="CP88" s="30">
        <v>1</v>
      </c>
      <c r="CQ88" s="30">
        <v>1</v>
      </c>
      <c r="CR88" s="30">
        <v>1</v>
      </c>
      <c r="CS88" s="30">
        <v>1</v>
      </c>
      <c r="CT88" s="30">
        <v>1</v>
      </c>
      <c r="CU88" s="30">
        <v>1</v>
      </c>
      <c r="CV88" s="30">
        <v>1</v>
      </c>
      <c r="CW88" s="30">
        <v>1</v>
      </c>
      <c r="CX88" s="30">
        <v>1</v>
      </c>
      <c r="CY88" s="30">
        <v>1</v>
      </c>
      <c r="CZ88" s="30">
        <v>1</v>
      </c>
      <c r="DA88" s="30">
        <v>1</v>
      </c>
    </row>
    <row r="89" spans="1:105" x14ac:dyDescent="0.3">
      <c r="A89" s="34" t="str">
        <f t="shared" si="3"/>
        <v>Baddi - E4Silk F&amp;N Small</v>
      </c>
      <c r="B89" s="27" t="s">
        <v>83</v>
      </c>
      <c r="C89" s="20" t="s">
        <v>7</v>
      </c>
      <c r="D89" s="19" t="s">
        <v>40</v>
      </c>
      <c r="E89" s="18" t="s">
        <v>48</v>
      </c>
      <c r="F89" s="30">
        <v>14</v>
      </c>
      <c r="G89" s="30">
        <v>5</v>
      </c>
      <c r="H89" s="30">
        <v>30</v>
      </c>
      <c r="I89" s="41"/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>
        <v>1661.3636363636363</v>
      </c>
      <c r="AD89" s="21">
        <v>1661.3636363636363</v>
      </c>
      <c r="AE89" s="21">
        <v>1661.3636363636363</v>
      </c>
      <c r="AF89" s="21">
        <v>1661.3636363636363</v>
      </c>
      <c r="AG89" s="21">
        <v>1661.3636363636363</v>
      </c>
      <c r="AH89" s="21">
        <v>1661.3636363636363</v>
      </c>
      <c r="AI89" s="21"/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30">
        <v>1</v>
      </c>
      <c r="BG89" s="30">
        <v>1</v>
      </c>
      <c r="BH89" s="30">
        <v>1</v>
      </c>
      <c r="BI89" s="30">
        <v>1</v>
      </c>
      <c r="BJ89" s="30">
        <v>1</v>
      </c>
      <c r="BK89" s="30">
        <v>1</v>
      </c>
      <c r="BL89" s="30">
        <v>1</v>
      </c>
      <c r="BM89" s="30">
        <v>1</v>
      </c>
      <c r="BN89" s="30">
        <v>1</v>
      </c>
      <c r="BO89" s="30">
        <v>1</v>
      </c>
      <c r="BP89" s="30">
        <v>1</v>
      </c>
      <c r="BQ89" s="30">
        <v>1</v>
      </c>
      <c r="BR89" s="30">
        <v>1</v>
      </c>
      <c r="BS89" s="30">
        <v>1</v>
      </c>
      <c r="BT89" s="30">
        <v>1</v>
      </c>
      <c r="BU89" s="30">
        <v>1</v>
      </c>
      <c r="BV89" s="30">
        <v>1</v>
      </c>
      <c r="BW89" s="30">
        <v>1</v>
      </c>
      <c r="BX89" s="30">
        <v>1</v>
      </c>
      <c r="BY89" s="30">
        <v>1</v>
      </c>
      <c r="BZ89" s="30">
        <v>1</v>
      </c>
      <c r="CA89" s="30">
        <v>1</v>
      </c>
      <c r="CB89" s="30">
        <v>1</v>
      </c>
      <c r="CC89" s="30">
        <v>1</v>
      </c>
      <c r="CD89" s="30">
        <v>1</v>
      </c>
      <c r="CE89" s="30">
        <v>1</v>
      </c>
      <c r="CF89" s="30">
        <v>1</v>
      </c>
      <c r="CG89" s="30">
        <v>1</v>
      </c>
      <c r="CH89" s="30">
        <v>1</v>
      </c>
      <c r="CI89" s="30">
        <v>1</v>
      </c>
      <c r="CJ89" s="30">
        <v>1</v>
      </c>
      <c r="CK89" s="30">
        <v>1</v>
      </c>
      <c r="CL89" s="30">
        <v>1</v>
      </c>
      <c r="CM89" s="30">
        <v>1</v>
      </c>
      <c r="CN89" s="30">
        <v>1</v>
      </c>
      <c r="CO89" s="30">
        <v>1</v>
      </c>
      <c r="CP89" s="30">
        <v>1</v>
      </c>
      <c r="CQ89" s="30">
        <v>1</v>
      </c>
      <c r="CR89" s="30">
        <v>1</v>
      </c>
      <c r="CS89" s="30">
        <v>1</v>
      </c>
      <c r="CT89" s="30">
        <v>1</v>
      </c>
      <c r="CU89" s="30">
        <v>1</v>
      </c>
      <c r="CV89" s="30">
        <v>1</v>
      </c>
      <c r="CW89" s="30">
        <v>1</v>
      </c>
      <c r="CX89" s="30">
        <v>1</v>
      </c>
      <c r="CY89" s="30">
        <v>1</v>
      </c>
      <c r="CZ89" s="30">
        <v>1</v>
      </c>
      <c r="DA89" s="30">
        <v>1</v>
      </c>
    </row>
    <row r="90" spans="1:105" x14ac:dyDescent="0.3">
      <c r="A90" s="34" t="str">
        <f t="shared" si="3"/>
        <v>Baddi - E4Silk F&amp;N Small NEPAL</v>
      </c>
      <c r="B90" s="27" t="s">
        <v>83</v>
      </c>
      <c r="C90" s="20" t="s">
        <v>7</v>
      </c>
      <c r="D90" s="19" t="s">
        <v>40</v>
      </c>
      <c r="E90" s="18" t="s">
        <v>236</v>
      </c>
      <c r="F90" s="30">
        <v>14</v>
      </c>
      <c r="G90" s="30">
        <v>1</v>
      </c>
      <c r="H90" s="30">
        <v>30</v>
      </c>
      <c r="I90" s="41"/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>
        <v>1661.3636363636363</v>
      </c>
      <c r="AD90" s="21">
        <v>1661.3636363636363</v>
      </c>
      <c r="AE90" s="21">
        <v>1661.3636363636363</v>
      </c>
      <c r="AF90" s="21">
        <v>1661.3636363636363</v>
      </c>
      <c r="AG90" s="21">
        <v>1661.3636363636363</v>
      </c>
      <c r="AH90" s="21">
        <v>1661.3636363636363</v>
      </c>
      <c r="AI90" s="21"/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30">
        <v>1</v>
      </c>
      <c r="BG90" s="30">
        <v>1</v>
      </c>
      <c r="BH90" s="30">
        <v>1</v>
      </c>
      <c r="BI90" s="30">
        <v>1</v>
      </c>
      <c r="BJ90" s="30">
        <v>1</v>
      </c>
      <c r="BK90" s="30">
        <v>1</v>
      </c>
      <c r="BL90" s="30">
        <v>1</v>
      </c>
      <c r="BM90" s="30">
        <v>1</v>
      </c>
      <c r="BN90" s="30">
        <v>1</v>
      </c>
      <c r="BO90" s="30">
        <v>1</v>
      </c>
      <c r="BP90" s="30">
        <v>1</v>
      </c>
      <c r="BQ90" s="30">
        <v>1</v>
      </c>
      <c r="BR90" s="30">
        <v>1</v>
      </c>
      <c r="BS90" s="30">
        <v>1</v>
      </c>
      <c r="BT90" s="30">
        <v>1</v>
      </c>
      <c r="BU90" s="30">
        <v>1</v>
      </c>
      <c r="BV90" s="30">
        <v>1</v>
      </c>
      <c r="BW90" s="30">
        <v>1</v>
      </c>
      <c r="BX90" s="30">
        <v>1</v>
      </c>
      <c r="BY90" s="30">
        <v>1</v>
      </c>
      <c r="BZ90" s="30">
        <v>1</v>
      </c>
      <c r="CA90" s="30">
        <v>1</v>
      </c>
      <c r="CB90" s="30">
        <v>1</v>
      </c>
      <c r="CC90" s="30">
        <v>1</v>
      </c>
      <c r="CD90" s="30">
        <v>1</v>
      </c>
      <c r="CE90" s="30">
        <v>1</v>
      </c>
      <c r="CF90" s="30">
        <v>1</v>
      </c>
      <c r="CG90" s="30">
        <v>1</v>
      </c>
      <c r="CH90" s="30">
        <v>1</v>
      </c>
      <c r="CI90" s="30">
        <v>1</v>
      </c>
      <c r="CJ90" s="30">
        <v>1</v>
      </c>
      <c r="CK90" s="30">
        <v>1</v>
      </c>
      <c r="CL90" s="30">
        <v>1</v>
      </c>
      <c r="CM90" s="30">
        <v>1</v>
      </c>
      <c r="CN90" s="30">
        <v>1</v>
      </c>
      <c r="CO90" s="30">
        <v>1</v>
      </c>
      <c r="CP90" s="30">
        <v>1</v>
      </c>
      <c r="CQ90" s="30">
        <v>1</v>
      </c>
      <c r="CR90" s="30">
        <v>1</v>
      </c>
      <c r="CS90" s="30">
        <v>1</v>
      </c>
      <c r="CT90" s="30">
        <v>1</v>
      </c>
      <c r="CU90" s="30">
        <v>1</v>
      </c>
      <c r="CV90" s="30">
        <v>1</v>
      </c>
      <c r="CW90" s="30">
        <v>1</v>
      </c>
      <c r="CX90" s="30">
        <v>1</v>
      </c>
      <c r="CY90" s="30">
        <v>1</v>
      </c>
      <c r="CZ90" s="30">
        <v>1</v>
      </c>
      <c r="DA90" s="30">
        <v>1</v>
      </c>
    </row>
    <row r="91" spans="1:105" x14ac:dyDescent="0.3">
      <c r="A91" s="34" t="str">
        <f t="shared" si="3"/>
        <v>Baddi - E4Silk Ganache Large</v>
      </c>
      <c r="B91" s="27" t="s">
        <v>83</v>
      </c>
      <c r="C91" s="20" t="s">
        <v>7</v>
      </c>
      <c r="D91" s="19" t="s">
        <v>40</v>
      </c>
      <c r="E91" s="18" t="s">
        <v>42</v>
      </c>
      <c r="F91" s="30">
        <v>11</v>
      </c>
      <c r="G91" s="30">
        <v>5</v>
      </c>
      <c r="H91" s="30">
        <v>30</v>
      </c>
      <c r="I91" s="41"/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>
        <v>1041.6666666666667</v>
      </c>
      <c r="AD91" s="21">
        <v>1041.6666666666667</v>
      </c>
      <c r="AE91" s="21">
        <v>1041.6666666666667</v>
      </c>
      <c r="AF91" s="21">
        <v>1041.6666666666667</v>
      </c>
      <c r="AG91" s="21">
        <v>1041.6666666666667</v>
      </c>
      <c r="AH91" s="21">
        <v>1041.6666666666667</v>
      </c>
      <c r="AI91" s="21"/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30">
        <v>1</v>
      </c>
      <c r="BG91" s="30">
        <v>1</v>
      </c>
      <c r="BH91" s="30">
        <v>1</v>
      </c>
      <c r="BI91" s="30">
        <v>1</v>
      </c>
      <c r="BJ91" s="30">
        <v>1</v>
      </c>
      <c r="BK91" s="30">
        <v>1</v>
      </c>
      <c r="BL91" s="30">
        <v>1</v>
      </c>
      <c r="BM91" s="30">
        <v>1</v>
      </c>
      <c r="BN91" s="30">
        <v>1</v>
      </c>
      <c r="BO91" s="30">
        <v>1</v>
      </c>
      <c r="BP91" s="30">
        <v>1</v>
      </c>
      <c r="BQ91" s="30">
        <v>1</v>
      </c>
      <c r="BR91" s="30">
        <v>1</v>
      </c>
      <c r="BS91" s="30">
        <v>1</v>
      </c>
      <c r="BT91" s="30">
        <v>1</v>
      </c>
      <c r="BU91" s="30">
        <v>1</v>
      </c>
      <c r="BV91" s="30">
        <v>1</v>
      </c>
      <c r="BW91" s="30">
        <v>1</v>
      </c>
      <c r="BX91" s="30">
        <v>1</v>
      </c>
      <c r="BY91" s="30">
        <v>1</v>
      </c>
      <c r="BZ91" s="30">
        <v>1</v>
      </c>
      <c r="CA91" s="30">
        <v>1</v>
      </c>
      <c r="CB91" s="30">
        <v>1</v>
      </c>
      <c r="CC91" s="30">
        <v>1</v>
      </c>
      <c r="CD91" s="30">
        <v>1</v>
      </c>
      <c r="CE91" s="30">
        <v>1</v>
      </c>
      <c r="CF91" s="30">
        <v>1</v>
      </c>
      <c r="CG91" s="30">
        <v>1</v>
      </c>
      <c r="CH91" s="30">
        <v>1</v>
      </c>
      <c r="CI91" s="30">
        <v>1</v>
      </c>
      <c r="CJ91" s="30">
        <v>1</v>
      </c>
      <c r="CK91" s="30">
        <v>1</v>
      </c>
      <c r="CL91" s="30">
        <v>1</v>
      </c>
      <c r="CM91" s="30">
        <v>1</v>
      </c>
      <c r="CN91" s="30">
        <v>1</v>
      </c>
      <c r="CO91" s="30">
        <v>1</v>
      </c>
      <c r="CP91" s="30">
        <v>1</v>
      </c>
      <c r="CQ91" s="30">
        <v>1</v>
      </c>
      <c r="CR91" s="30">
        <v>1</v>
      </c>
      <c r="CS91" s="30">
        <v>1</v>
      </c>
      <c r="CT91" s="30">
        <v>1</v>
      </c>
      <c r="CU91" s="30">
        <v>1</v>
      </c>
      <c r="CV91" s="30">
        <v>1</v>
      </c>
      <c r="CW91" s="30">
        <v>1</v>
      </c>
      <c r="CX91" s="30">
        <v>1</v>
      </c>
      <c r="CY91" s="30">
        <v>1</v>
      </c>
      <c r="CZ91" s="30">
        <v>1</v>
      </c>
      <c r="DA91" s="30">
        <v>1</v>
      </c>
    </row>
    <row r="92" spans="1:105" x14ac:dyDescent="0.3">
      <c r="A92" s="34" t="str">
        <f t="shared" si="3"/>
        <v>Baddi - E4Silk Ganache Small</v>
      </c>
      <c r="B92" s="27" t="s">
        <v>83</v>
      </c>
      <c r="C92" s="20" t="s">
        <v>7</v>
      </c>
      <c r="D92" s="19" t="s">
        <v>40</v>
      </c>
      <c r="E92" s="18" t="s">
        <v>41</v>
      </c>
      <c r="F92" s="30">
        <v>10</v>
      </c>
      <c r="G92" s="30">
        <v>5</v>
      </c>
      <c r="H92" s="30">
        <v>30</v>
      </c>
      <c r="I92" s="41"/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>
        <v>1043.8144329896907</v>
      </c>
      <c r="AD92" s="21">
        <v>1043.8144329896907</v>
      </c>
      <c r="AE92" s="21">
        <v>1043.8144329896907</v>
      </c>
      <c r="AF92" s="21">
        <v>1043.8144329896907</v>
      </c>
      <c r="AG92" s="21">
        <v>1043.8144329896907</v>
      </c>
      <c r="AH92" s="21">
        <v>1043.8144329896907</v>
      </c>
      <c r="AI92" s="21"/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30">
        <v>1</v>
      </c>
      <c r="BG92" s="30">
        <v>1</v>
      </c>
      <c r="BH92" s="30">
        <v>1</v>
      </c>
      <c r="BI92" s="30">
        <v>1</v>
      </c>
      <c r="BJ92" s="30">
        <v>1</v>
      </c>
      <c r="BK92" s="30">
        <v>1</v>
      </c>
      <c r="BL92" s="30">
        <v>1</v>
      </c>
      <c r="BM92" s="30">
        <v>1</v>
      </c>
      <c r="BN92" s="30">
        <v>1</v>
      </c>
      <c r="BO92" s="30">
        <v>1</v>
      </c>
      <c r="BP92" s="30">
        <v>1</v>
      </c>
      <c r="BQ92" s="30">
        <v>1</v>
      </c>
      <c r="BR92" s="30">
        <v>1</v>
      </c>
      <c r="BS92" s="30">
        <v>1</v>
      </c>
      <c r="BT92" s="30">
        <v>1</v>
      </c>
      <c r="BU92" s="30">
        <v>1</v>
      </c>
      <c r="BV92" s="30">
        <v>1</v>
      </c>
      <c r="BW92" s="30">
        <v>1</v>
      </c>
      <c r="BX92" s="30">
        <v>1</v>
      </c>
      <c r="BY92" s="30">
        <v>1</v>
      </c>
      <c r="BZ92" s="30">
        <v>1</v>
      </c>
      <c r="CA92" s="30">
        <v>1</v>
      </c>
      <c r="CB92" s="30">
        <v>1</v>
      </c>
      <c r="CC92" s="30">
        <v>1</v>
      </c>
      <c r="CD92" s="30">
        <v>1</v>
      </c>
      <c r="CE92" s="30">
        <v>1</v>
      </c>
      <c r="CF92" s="30">
        <v>1</v>
      </c>
      <c r="CG92" s="30">
        <v>1</v>
      </c>
      <c r="CH92" s="30">
        <v>1</v>
      </c>
      <c r="CI92" s="30">
        <v>1</v>
      </c>
      <c r="CJ92" s="30">
        <v>1</v>
      </c>
      <c r="CK92" s="30">
        <v>1</v>
      </c>
      <c r="CL92" s="30">
        <v>1</v>
      </c>
      <c r="CM92" s="30">
        <v>1</v>
      </c>
      <c r="CN92" s="30">
        <v>1</v>
      </c>
      <c r="CO92" s="30">
        <v>1</v>
      </c>
      <c r="CP92" s="30">
        <v>1</v>
      </c>
      <c r="CQ92" s="30">
        <v>1</v>
      </c>
      <c r="CR92" s="30">
        <v>1</v>
      </c>
      <c r="CS92" s="30">
        <v>1</v>
      </c>
      <c r="CT92" s="30">
        <v>1</v>
      </c>
      <c r="CU92" s="30">
        <v>1</v>
      </c>
      <c r="CV92" s="30">
        <v>1</v>
      </c>
      <c r="CW92" s="30">
        <v>1</v>
      </c>
      <c r="CX92" s="30">
        <v>1</v>
      </c>
      <c r="CY92" s="30">
        <v>1</v>
      </c>
      <c r="CZ92" s="30">
        <v>1</v>
      </c>
      <c r="DA92" s="30">
        <v>1</v>
      </c>
    </row>
    <row r="93" spans="1:105" x14ac:dyDescent="0.3">
      <c r="A93" s="34" t="str">
        <f t="shared" si="3"/>
        <v>Baddi - E4Silk Hazelnut Large</v>
      </c>
      <c r="B93" s="27" t="s">
        <v>83</v>
      </c>
      <c r="C93" s="20" t="s">
        <v>7</v>
      </c>
      <c r="D93" s="19" t="s">
        <v>40</v>
      </c>
      <c r="E93" s="18" t="s">
        <v>53</v>
      </c>
      <c r="F93" s="30">
        <v>5</v>
      </c>
      <c r="G93" s="30">
        <v>5</v>
      </c>
      <c r="H93" s="30">
        <v>30</v>
      </c>
      <c r="I93" s="41"/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>
        <v>1483.6829836829836</v>
      </c>
      <c r="AD93" s="21">
        <v>1483.6829836829836</v>
      </c>
      <c r="AE93" s="21">
        <v>1483.6829836829836</v>
      </c>
      <c r="AF93" s="21">
        <v>1483.6829836829836</v>
      </c>
      <c r="AG93" s="21">
        <v>1483.6829836829836</v>
      </c>
      <c r="AH93" s="21">
        <v>1483.6829836829836</v>
      </c>
      <c r="AI93" s="21"/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30">
        <v>1</v>
      </c>
      <c r="BG93" s="30">
        <v>1</v>
      </c>
      <c r="BH93" s="30">
        <v>1</v>
      </c>
      <c r="BI93" s="30">
        <v>1</v>
      </c>
      <c r="BJ93" s="30">
        <v>1</v>
      </c>
      <c r="BK93" s="30">
        <v>1</v>
      </c>
      <c r="BL93" s="30">
        <v>1</v>
      </c>
      <c r="BM93" s="30">
        <v>1</v>
      </c>
      <c r="BN93" s="30">
        <v>1</v>
      </c>
      <c r="BO93" s="30">
        <v>1</v>
      </c>
      <c r="BP93" s="30">
        <v>1</v>
      </c>
      <c r="BQ93" s="30">
        <v>1</v>
      </c>
      <c r="BR93" s="30">
        <v>1</v>
      </c>
      <c r="BS93" s="30">
        <v>1</v>
      </c>
      <c r="BT93" s="30">
        <v>1</v>
      </c>
      <c r="BU93" s="30">
        <v>1</v>
      </c>
      <c r="BV93" s="30">
        <v>1</v>
      </c>
      <c r="BW93" s="30">
        <v>1</v>
      </c>
      <c r="BX93" s="30">
        <v>1</v>
      </c>
      <c r="BY93" s="30">
        <v>1</v>
      </c>
      <c r="BZ93" s="30">
        <v>1</v>
      </c>
      <c r="CA93" s="30">
        <v>1</v>
      </c>
      <c r="CB93" s="30">
        <v>1</v>
      </c>
      <c r="CC93" s="30">
        <v>1</v>
      </c>
      <c r="CD93" s="30">
        <v>1</v>
      </c>
      <c r="CE93" s="30">
        <v>1</v>
      </c>
      <c r="CF93" s="30">
        <v>1</v>
      </c>
      <c r="CG93" s="30">
        <v>1</v>
      </c>
      <c r="CH93" s="30">
        <v>1</v>
      </c>
      <c r="CI93" s="30">
        <v>1</v>
      </c>
      <c r="CJ93" s="30">
        <v>1</v>
      </c>
      <c r="CK93" s="30">
        <v>1</v>
      </c>
      <c r="CL93" s="30">
        <v>1</v>
      </c>
      <c r="CM93" s="30">
        <v>1</v>
      </c>
      <c r="CN93" s="30">
        <v>1</v>
      </c>
      <c r="CO93" s="30">
        <v>1</v>
      </c>
      <c r="CP93" s="30">
        <v>1</v>
      </c>
      <c r="CQ93" s="30">
        <v>1</v>
      </c>
      <c r="CR93" s="30">
        <v>1</v>
      </c>
      <c r="CS93" s="30">
        <v>1</v>
      </c>
      <c r="CT93" s="30">
        <v>1</v>
      </c>
      <c r="CU93" s="30">
        <v>1</v>
      </c>
      <c r="CV93" s="30">
        <v>1</v>
      </c>
      <c r="CW93" s="30">
        <v>1</v>
      </c>
      <c r="CX93" s="30">
        <v>1</v>
      </c>
      <c r="CY93" s="30">
        <v>1</v>
      </c>
      <c r="CZ93" s="30">
        <v>1</v>
      </c>
      <c r="DA93" s="30">
        <v>1</v>
      </c>
    </row>
    <row r="94" spans="1:105" x14ac:dyDescent="0.3">
      <c r="A94" s="34" t="str">
        <f t="shared" si="3"/>
        <v>Baddi - E4Silk Hazelnut Small</v>
      </c>
      <c r="B94" s="27" t="s">
        <v>83</v>
      </c>
      <c r="C94" s="20" t="s">
        <v>7</v>
      </c>
      <c r="D94" s="19" t="s">
        <v>40</v>
      </c>
      <c r="E94" s="18" t="s">
        <v>52</v>
      </c>
      <c r="F94" s="30">
        <v>4</v>
      </c>
      <c r="G94" s="30">
        <v>5</v>
      </c>
      <c r="H94" s="30">
        <v>30</v>
      </c>
      <c r="I94" s="41"/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>
        <v>1531.6091954022988</v>
      </c>
      <c r="AD94" s="21">
        <v>1531.6091954022988</v>
      </c>
      <c r="AE94" s="21">
        <v>1531.6091954022988</v>
      </c>
      <c r="AF94" s="21">
        <v>1531.6091954022988</v>
      </c>
      <c r="AG94" s="21">
        <v>1531.6091954022988</v>
      </c>
      <c r="AH94" s="21">
        <v>1531.6091954022988</v>
      </c>
      <c r="AI94" s="21"/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30">
        <v>1</v>
      </c>
      <c r="BG94" s="30">
        <v>1</v>
      </c>
      <c r="BH94" s="30">
        <v>1</v>
      </c>
      <c r="BI94" s="30">
        <v>1</v>
      </c>
      <c r="BJ94" s="30">
        <v>1</v>
      </c>
      <c r="BK94" s="30">
        <v>1</v>
      </c>
      <c r="BL94" s="30">
        <v>1</v>
      </c>
      <c r="BM94" s="30">
        <v>1</v>
      </c>
      <c r="BN94" s="30">
        <v>1</v>
      </c>
      <c r="BO94" s="30">
        <v>1</v>
      </c>
      <c r="BP94" s="30">
        <v>1</v>
      </c>
      <c r="BQ94" s="30">
        <v>1</v>
      </c>
      <c r="BR94" s="30">
        <v>1</v>
      </c>
      <c r="BS94" s="30">
        <v>1</v>
      </c>
      <c r="BT94" s="30">
        <v>1</v>
      </c>
      <c r="BU94" s="30">
        <v>1</v>
      </c>
      <c r="BV94" s="30">
        <v>1</v>
      </c>
      <c r="BW94" s="30">
        <v>1</v>
      </c>
      <c r="BX94" s="30">
        <v>1</v>
      </c>
      <c r="BY94" s="30">
        <v>1</v>
      </c>
      <c r="BZ94" s="30">
        <v>1</v>
      </c>
      <c r="CA94" s="30">
        <v>1</v>
      </c>
      <c r="CB94" s="30">
        <v>1</v>
      </c>
      <c r="CC94" s="30">
        <v>1</v>
      </c>
      <c r="CD94" s="30">
        <v>1</v>
      </c>
      <c r="CE94" s="30">
        <v>1</v>
      </c>
      <c r="CF94" s="30">
        <v>1</v>
      </c>
      <c r="CG94" s="30">
        <v>1</v>
      </c>
      <c r="CH94" s="30">
        <v>1</v>
      </c>
      <c r="CI94" s="30">
        <v>1</v>
      </c>
      <c r="CJ94" s="30">
        <v>1</v>
      </c>
      <c r="CK94" s="30">
        <v>1</v>
      </c>
      <c r="CL94" s="30">
        <v>1</v>
      </c>
      <c r="CM94" s="30">
        <v>1</v>
      </c>
      <c r="CN94" s="30">
        <v>1</v>
      </c>
      <c r="CO94" s="30">
        <v>1</v>
      </c>
      <c r="CP94" s="30">
        <v>1</v>
      </c>
      <c r="CQ94" s="30">
        <v>1</v>
      </c>
      <c r="CR94" s="30">
        <v>1</v>
      </c>
      <c r="CS94" s="30">
        <v>1</v>
      </c>
      <c r="CT94" s="30">
        <v>1</v>
      </c>
      <c r="CU94" s="30">
        <v>1</v>
      </c>
      <c r="CV94" s="30">
        <v>1</v>
      </c>
      <c r="CW94" s="30">
        <v>1</v>
      </c>
      <c r="CX94" s="30">
        <v>1</v>
      </c>
      <c r="CY94" s="30">
        <v>1</v>
      </c>
      <c r="CZ94" s="30">
        <v>1</v>
      </c>
      <c r="DA94" s="30">
        <v>1</v>
      </c>
    </row>
    <row r="95" spans="1:105" x14ac:dyDescent="0.3">
      <c r="A95" s="34" t="str">
        <f t="shared" si="3"/>
        <v>Makson - BSilk Hometreats incl. bulk</v>
      </c>
      <c r="B95" s="20" t="s">
        <v>225</v>
      </c>
      <c r="C95" s="20" t="s">
        <v>13</v>
      </c>
      <c r="D95" s="19" t="s">
        <v>40</v>
      </c>
      <c r="E95" s="18" t="s">
        <v>67</v>
      </c>
      <c r="F95" s="30">
        <v>1</v>
      </c>
      <c r="G95" s="30">
        <v>3</v>
      </c>
      <c r="H95" s="30">
        <v>30</v>
      </c>
      <c r="I95" s="41"/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>
        <v>250</v>
      </c>
      <c r="AD95" s="21">
        <v>250</v>
      </c>
      <c r="AE95" s="21">
        <v>250</v>
      </c>
      <c r="AF95" s="21">
        <v>250</v>
      </c>
      <c r="AG95" s="21">
        <v>250</v>
      </c>
      <c r="AH95" s="21">
        <v>250</v>
      </c>
      <c r="AI95" s="21"/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30">
        <v>1</v>
      </c>
      <c r="BG95" s="30">
        <v>1</v>
      </c>
      <c r="BH95" s="30">
        <v>1</v>
      </c>
      <c r="BI95" s="30">
        <v>1</v>
      </c>
      <c r="BJ95" s="30">
        <v>1</v>
      </c>
      <c r="BK95" s="30">
        <v>1</v>
      </c>
      <c r="BL95" s="30">
        <v>1</v>
      </c>
      <c r="BM95" s="30">
        <v>1</v>
      </c>
      <c r="BN95" s="30">
        <v>1</v>
      </c>
      <c r="BO95" s="30">
        <v>1</v>
      </c>
      <c r="BP95" s="30">
        <v>1</v>
      </c>
      <c r="BQ95" s="30">
        <v>1</v>
      </c>
      <c r="BR95" s="30">
        <v>1</v>
      </c>
      <c r="BS95" s="30">
        <v>1</v>
      </c>
      <c r="BT95" s="30">
        <v>1</v>
      </c>
      <c r="BU95" s="30">
        <v>1</v>
      </c>
      <c r="BV95" s="30">
        <v>1</v>
      </c>
      <c r="BW95" s="30">
        <v>1</v>
      </c>
      <c r="BX95" s="30">
        <v>1</v>
      </c>
      <c r="BY95" s="30">
        <v>1</v>
      </c>
      <c r="BZ95" s="30">
        <v>1</v>
      </c>
      <c r="CA95" s="30">
        <v>1</v>
      </c>
      <c r="CB95" s="30">
        <v>1</v>
      </c>
      <c r="CC95" s="30">
        <v>1</v>
      </c>
      <c r="CD95" s="30">
        <v>1</v>
      </c>
      <c r="CE95" s="30">
        <v>1</v>
      </c>
      <c r="CF95" s="30">
        <v>1</v>
      </c>
      <c r="CG95" s="30">
        <v>1</v>
      </c>
      <c r="CH95" s="30">
        <v>1</v>
      </c>
      <c r="CI95" s="30">
        <v>1</v>
      </c>
      <c r="CJ95" s="30">
        <v>1</v>
      </c>
      <c r="CK95" s="30">
        <v>1</v>
      </c>
      <c r="CL95" s="30">
        <v>1</v>
      </c>
      <c r="CM95" s="30">
        <v>1</v>
      </c>
      <c r="CN95" s="30">
        <v>1</v>
      </c>
      <c r="CO95" s="30">
        <v>1</v>
      </c>
      <c r="CP95" s="30">
        <v>1</v>
      </c>
      <c r="CQ95" s="30">
        <v>1</v>
      </c>
      <c r="CR95" s="30">
        <v>1</v>
      </c>
      <c r="CS95" s="30">
        <v>1</v>
      </c>
      <c r="CT95" s="30">
        <v>1</v>
      </c>
      <c r="CU95" s="30">
        <v>1</v>
      </c>
      <c r="CV95" s="30">
        <v>1</v>
      </c>
      <c r="CW95" s="30">
        <v>1</v>
      </c>
      <c r="CX95" s="30">
        <v>1</v>
      </c>
      <c r="CY95" s="30">
        <v>1</v>
      </c>
      <c r="CZ95" s="30">
        <v>1</v>
      </c>
      <c r="DA95" s="30">
        <v>1</v>
      </c>
    </row>
    <row r="96" spans="1:105" x14ac:dyDescent="0.3">
      <c r="A96" s="34" t="str">
        <f t="shared" si="3"/>
        <v>Induri - ShellSilk Mousse Large</v>
      </c>
      <c r="B96" s="20" t="s">
        <v>82</v>
      </c>
      <c r="C96" s="20" t="s">
        <v>11</v>
      </c>
      <c r="D96" s="19" t="s">
        <v>40</v>
      </c>
      <c r="E96" s="18" t="s">
        <v>66</v>
      </c>
      <c r="F96" s="30">
        <v>3</v>
      </c>
      <c r="G96" s="30">
        <v>3</v>
      </c>
      <c r="H96" s="30">
        <v>30</v>
      </c>
      <c r="I96" s="41"/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>
        <v>711.20689655172418</v>
      </c>
      <c r="AD96" s="21">
        <v>711.20689655172418</v>
      </c>
      <c r="AE96" s="21">
        <v>711.20689655172418</v>
      </c>
      <c r="AF96" s="21">
        <v>711.20689655172418</v>
      </c>
      <c r="AG96" s="21">
        <v>711.20689655172418</v>
      </c>
      <c r="AH96" s="21">
        <v>711.20689655172418</v>
      </c>
      <c r="AI96" s="21"/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30">
        <v>1</v>
      </c>
      <c r="BG96" s="30">
        <v>1</v>
      </c>
      <c r="BH96" s="30">
        <v>1</v>
      </c>
      <c r="BI96" s="30">
        <v>1</v>
      </c>
      <c r="BJ96" s="30">
        <v>1</v>
      </c>
      <c r="BK96" s="30">
        <v>1</v>
      </c>
      <c r="BL96" s="30">
        <v>1</v>
      </c>
      <c r="BM96" s="30">
        <v>1</v>
      </c>
      <c r="BN96" s="30">
        <v>1</v>
      </c>
      <c r="BO96" s="30">
        <v>1</v>
      </c>
      <c r="BP96" s="30">
        <v>1</v>
      </c>
      <c r="BQ96" s="30">
        <v>1</v>
      </c>
      <c r="BR96" s="30">
        <v>1</v>
      </c>
      <c r="BS96" s="30">
        <v>1</v>
      </c>
      <c r="BT96" s="30">
        <v>1</v>
      </c>
      <c r="BU96" s="30">
        <v>1</v>
      </c>
      <c r="BV96" s="30">
        <v>1</v>
      </c>
      <c r="BW96" s="30">
        <v>1</v>
      </c>
      <c r="BX96" s="30">
        <v>1</v>
      </c>
      <c r="BY96" s="30">
        <v>1</v>
      </c>
      <c r="BZ96" s="30">
        <v>1</v>
      </c>
      <c r="CA96" s="30">
        <v>1</v>
      </c>
      <c r="CB96" s="30">
        <v>1</v>
      </c>
      <c r="CC96" s="30">
        <v>1</v>
      </c>
      <c r="CD96" s="30">
        <v>1</v>
      </c>
      <c r="CE96" s="30">
        <v>1</v>
      </c>
      <c r="CF96" s="30">
        <v>1</v>
      </c>
      <c r="CG96" s="30">
        <v>1</v>
      </c>
      <c r="CH96" s="30">
        <v>1</v>
      </c>
      <c r="CI96" s="30">
        <v>1</v>
      </c>
      <c r="CJ96" s="30">
        <v>1</v>
      </c>
      <c r="CK96" s="30">
        <v>1</v>
      </c>
      <c r="CL96" s="30">
        <v>1</v>
      </c>
      <c r="CM96" s="30">
        <v>1</v>
      </c>
      <c r="CN96" s="30">
        <v>1</v>
      </c>
      <c r="CO96" s="30">
        <v>1</v>
      </c>
      <c r="CP96" s="30">
        <v>1</v>
      </c>
      <c r="CQ96" s="30">
        <v>1</v>
      </c>
      <c r="CR96" s="30">
        <v>1</v>
      </c>
      <c r="CS96" s="30">
        <v>1</v>
      </c>
      <c r="CT96" s="30">
        <v>1</v>
      </c>
      <c r="CU96" s="30">
        <v>1</v>
      </c>
      <c r="CV96" s="30">
        <v>1</v>
      </c>
      <c r="CW96" s="30">
        <v>1</v>
      </c>
      <c r="CX96" s="30">
        <v>1</v>
      </c>
      <c r="CY96" s="30">
        <v>1</v>
      </c>
      <c r="CZ96" s="30">
        <v>1</v>
      </c>
      <c r="DA96" s="30">
        <v>1</v>
      </c>
    </row>
    <row r="97" spans="1:105" x14ac:dyDescent="0.3">
      <c r="A97" s="34" t="str">
        <f t="shared" si="3"/>
        <v>Induri - ShellSILK MOUSSE LARGE SEA</v>
      </c>
      <c r="B97" s="20" t="s">
        <v>82</v>
      </c>
      <c r="C97" s="20" t="s">
        <v>11</v>
      </c>
      <c r="D97" s="19" t="s">
        <v>40</v>
      </c>
      <c r="E97" s="18" t="s">
        <v>237</v>
      </c>
      <c r="F97" s="30">
        <v>3</v>
      </c>
      <c r="G97" s="30">
        <v>1</v>
      </c>
      <c r="H97" s="30">
        <v>30</v>
      </c>
      <c r="I97" s="41"/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>
        <v>711.20689655172418</v>
      </c>
      <c r="AD97" s="21">
        <v>711.20689655172418</v>
      </c>
      <c r="AE97" s="21">
        <v>711.20689655172418</v>
      </c>
      <c r="AF97" s="21">
        <v>711.20689655172418</v>
      </c>
      <c r="AG97" s="21">
        <v>711.20689655172418</v>
      </c>
      <c r="AH97" s="21">
        <v>711.20689655172418</v>
      </c>
      <c r="AI97" s="21"/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30">
        <v>1</v>
      </c>
      <c r="BG97" s="30">
        <v>1</v>
      </c>
      <c r="BH97" s="30">
        <v>1</v>
      </c>
      <c r="BI97" s="30">
        <v>1</v>
      </c>
      <c r="BJ97" s="30">
        <v>1</v>
      </c>
      <c r="BK97" s="30">
        <v>1</v>
      </c>
      <c r="BL97" s="30">
        <v>1</v>
      </c>
      <c r="BM97" s="30">
        <v>1</v>
      </c>
      <c r="BN97" s="30">
        <v>1</v>
      </c>
      <c r="BO97" s="30">
        <v>1</v>
      </c>
      <c r="BP97" s="30">
        <v>1</v>
      </c>
      <c r="BQ97" s="30">
        <v>1</v>
      </c>
      <c r="BR97" s="30">
        <v>1</v>
      </c>
      <c r="BS97" s="30">
        <v>1</v>
      </c>
      <c r="BT97" s="30">
        <v>1</v>
      </c>
      <c r="BU97" s="30">
        <v>1</v>
      </c>
      <c r="BV97" s="30">
        <v>1</v>
      </c>
      <c r="BW97" s="30">
        <v>1</v>
      </c>
      <c r="BX97" s="30">
        <v>1</v>
      </c>
      <c r="BY97" s="30">
        <v>1</v>
      </c>
      <c r="BZ97" s="30">
        <v>1</v>
      </c>
      <c r="CA97" s="30">
        <v>1</v>
      </c>
      <c r="CB97" s="30">
        <v>1</v>
      </c>
      <c r="CC97" s="30">
        <v>1</v>
      </c>
      <c r="CD97" s="30">
        <v>1</v>
      </c>
      <c r="CE97" s="30">
        <v>1</v>
      </c>
      <c r="CF97" s="30">
        <v>1</v>
      </c>
      <c r="CG97" s="30">
        <v>1</v>
      </c>
      <c r="CH97" s="30">
        <v>1</v>
      </c>
      <c r="CI97" s="30">
        <v>1</v>
      </c>
      <c r="CJ97" s="30">
        <v>1</v>
      </c>
      <c r="CK97" s="30">
        <v>1</v>
      </c>
      <c r="CL97" s="30">
        <v>1</v>
      </c>
      <c r="CM97" s="30">
        <v>1</v>
      </c>
      <c r="CN97" s="30">
        <v>1</v>
      </c>
      <c r="CO97" s="30">
        <v>1</v>
      </c>
      <c r="CP97" s="30">
        <v>1</v>
      </c>
      <c r="CQ97" s="30">
        <v>1</v>
      </c>
      <c r="CR97" s="30">
        <v>1</v>
      </c>
      <c r="CS97" s="30">
        <v>1</v>
      </c>
      <c r="CT97" s="30">
        <v>1</v>
      </c>
      <c r="CU97" s="30">
        <v>1</v>
      </c>
      <c r="CV97" s="30">
        <v>1</v>
      </c>
      <c r="CW97" s="30">
        <v>1</v>
      </c>
      <c r="CX97" s="30">
        <v>1</v>
      </c>
      <c r="CY97" s="30">
        <v>1</v>
      </c>
      <c r="CZ97" s="30">
        <v>1</v>
      </c>
      <c r="DA97" s="30">
        <v>1</v>
      </c>
    </row>
    <row r="98" spans="1:105" x14ac:dyDescent="0.3">
      <c r="A98" s="34" t="str">
        <f t="shared" si="3"/>
        <v>Induri - ShellSilk Mousse Small</v>
      </c>
      <c r="B98" s="20" t="s">
        <v>82</v>
      </c>
      <c r="C98" s="20" t="s">
        <v>11</v>
      </c>
      <c r="D98" s="19" t="s">
        <v>40</v>
      </c>
      <c r="E98" s="18" t="s">
        <v>65</v>
      </c>
      <c r="F98" s="30">
        <v>2</v>
      </c>
      <c r="G98" s="30">
        <v>3</v>
      </c>
      <c r="H98" s="30">
        <v>30</v>
      </c>
      <c r="I98" s="41"/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>
        <v>720</v>
      </c>
      <c r="AD98" s="21">
        <v>720</v>
      </c>
      <c r="AE98" s="21">
        <v>720</v>
      </c>
      <c r="AF98" s="21">
        <v>720</v>
      </c>
      <c r="AG98" s="21">
        <v>720</v>
      </c>
      <c r="AH98" s="21">
        <v>720</v>
      </c>
      <c r="AI98" s="21"/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30">
        <v>1</v>
      </c>
      <c r="BG98" s="30">
        <v>1</v>
      </c>
      <c r="BH98" s="30">
        <v>1</v>
      </c>
      <c r="BI98" s="30">
        <v>1</v>
      </c>
      <c r="BJ98" s="30">
        <v>1</v>
      </c>
      <c r="BK98" s="30">
        <v>1</v>
      </c>
      <c r="BL98" s="30">
        <v>1</v>
      </c>
      <c r="BM98" s="30">
        <v>1</v>
      </c>
      <c r="BN98" s="30">
        <v>1</v>
      </c>
      <c r="BO98" s="30">
        <v>1</v>
      </c>
      <c r="BP98" s="30">
        <v>1</v>
      </c>
      <c r="BQ98" s="30">
        <v>1</v>
      </c>
      <c r="BR98" s="30">
        <v>1</v>
      </c>
      <c r="BS98" s="30">
        <v>1</v>
      </c>
      <c r="BT98" s="30">
        <v>1</v>
      </c>
      <c r="BU98" s="30">
        <v>1</v>
      </c>
      <c r="BV98" s="30">
        <v>1</v>
      </c>
      <c r="BW98" s="30">
        <v>1</v>
      </c>
      <c r="BX98" s="30">
        <v>1</v>
      </c>
      <c r="BY98" s="30">
        <v>1</v>
      </c>
      <c r="BZ98" s="30">
        <v>1</v>
      </c>
      <c r="CA98" s="30">
        <v>1</v>
      </c>
      <c r="CB98" s="30">
        <v>1</v>
      </c>
      <c r="CC98" s="30">
        <v>1</v>
      </c>
      <c r="CD98" s="30">
        <v>1</v>
      </c>
      <c r="CE98" s="30">
        <v>1</v>
      </c>
      <c r="CF98" s="30">
        <v>1</v>
      </c>
      <c r="CG98" s="30">
        <v>1</v>
      </c>
      <c r="CH98" s="30">
        <v>1</v>
      </c>
      <c r="CI98" s="30">
        <v>1</v>
      </c>
      <c r="CJ98" s="30">
        <v>1</v>
      </c>
      <c r="CK98" s="30">
        <v>1</v>
      </c>
      <c r="CL98" s="30">
        <v>1</v>
      </c>
      <c r="CM98" s="30">
        <v>1</v>
      </c>
      <c r="CN98" s="30">
        <v>1</v>
      </c>
      <c r="CO98" s="30">
        <v>1</v>
      </c>
      <c r="CP98" s="30">
        <v>1</v>
      </c>
      <c r="CQ98" s="30">
        <v>1</v>
      </c>
      <c r="CR98" s="30">
        <v>1</v>
      </c>
      <c r="CS98" s="30">
        <v>1</v>
      </c>
      <c r="CT98" s="30">
        <v>1</v>
      </c>
      <c r="CU98" s="30">
        <v>1</v>
      </c>
      <c r="CV98" s="30">
        <v>1</v>
      </c>
      <c r="CW98" s="30">
        <v>1</v>
      </c>
      <c r="CX98" s="30">
        <v>1</v>
      </c>
      <c r="CY98" s="30">
        <v>1</v>
      </c>
      <c r="CZ98" s="30">
        <v>1</v>
      </c>
      <c r="DA98" s="30">
        <v>1</v>
      </c>
    </row>
    <row r="99" spans="1:105" x14ac:dyDescent="0.3">
      <c r="A99" s="34" t="str">
        <f t="shared" si="3"/>
        <v>Induri - ShellSILK MOUSSE SMALL SEA</v>
      </c>
      <c r="B99" s="20" t="s">
        <v>82</v>
      </c>
      <c r="C99" s="20" t="s">
        <v>11</v>
      </c>
      <c r="D99" s="19" t="s">
        <v>40</v>
      </c>
      <c r="E99" s="18" t="s">
        <v>238</v>
      </c>
      <c r="F99" s="30">
        <v>2</v>
      </c>
      <c r="G99" s="30">
        <v>1</v>
      </c>
      <c r="H99" s="30">
        <v>30</v>
      </c>
      <c r="I99" s="41"/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>
        <v>720</v>
      </c>
      <c r="AD99" s="21">
        <v>720</v>
      </c>
      <c r="AE99" s="21">
        <v>720</v>
      </c>
      <c r="AF99" s="21">
        <v>720</v>
      </c>
      <c r="AG99" s="21">
        <v>720</v>
      </c>
      <c r="AH99" s="21">
        <v>720</v>
      </c>
      <c r="AI99" s="21"/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30">
        <v>1</v>
      </c>
      <c r="BG99" s="30">
        <v>1</v>
      </c>
      <c r="BH99" s="30">
        <v>1</v>
      </c>
      <c r="BI99" s="30">
        <v>1</v>
      </c>
      <c r="BJ99" s="30">
        <v>1</v>
      </c>
      <c r="BK99" s="30">
        <v>1</v>
      </c>
      <c r="BL99" s="30">
        <v>1</v>
      </c>
      <c r="BM99" s="30">
        <v>1</v>
      </c>
      <c r="BN99" s="30">
        <v>1</v>
      </c>
      <c r="BO99" s="30">
        <v>1</v>
      </c>
      <c r="BP99" s="30">
        <v>1</v>
      </c>
      <c r="BQ99" s="30">
        <v>1</v>
      </c>
      <c r="BR99" s="30">
        <v>1</v>
      </c>
      <c r="BS99" s="30">
        <v>1</v>
      </c>
      <c r="BT99" s="30">
        <v>1</v>
      </c>
      <c r="BU99" s="30">
        <v>1</v>
      </c>
      <c r="BV99" s="30">
        <v>1</v>
      </c>
      <c r="BW99" s="30">
        <v>1</v>
      </c>
      <c r="BX99" s="30">
        <v>1</v>
      </c>
      <c r="BY99" s="30">
        <v>1</v>
      </c>
      <c r="BZ99" s="30">
        <v>1</v>
      </c>
      <c r="CA99" s="30">
        <v>1</v>
      </c>
      <c r="CB99" s="30">
        <v>1</v>
      </c>
      <c r="CC99" s="30">
        <v>1</v>
      </c>
      <c r="CD99" s="30">
        <v>1</v>
      </c>
      <c r="CE99" s="30">
        <v>1</v>
      </c>
      <c r="CF99" s="30">
        <v>1</v>
      </c>
      <c r="CG99" s="30">
        <v>1</v>
      </c>
      <c r="CH99" s="30">
        <v>1</v>
      </c>
      <c r="CI99" s="30">
        <v>1</v>
      </c>
      <c r="CJ99" s="30">
        <v>1</v>
      </c>
      <c r="CK99" s="30">
        <v>1</v>
      </c>
      <c r="CL99" s="30">
        <v>1</v>
      </c>
      <c r="CM99" s="30">
        <v>1</v>
      </c>
      <c r="CN99" s="30">
        <v>1</v>
      </c>
      <c r="CO99" s="30">
        <v>1</v>
      </c>
      <c r="CP99" s="30">
        <v>1</v>
      </c>
      <c r="CQ99" s="30">
        <v>1</v>
      </c>
      <c r="CR99" s="30">
        <v>1</v>
      </c>
      <c r="CS99" s="30">
        <v>1</v>
      </c>
      <c r="CT99" s="30">
        <v>1</v>
      </c>
      <c r="CU99" s="30">
        <v>1</v>
      </c>
      <c r="CV99" s="30">
        <v>1</v>
      </c>
      <c r="CW99" s="30">
        <v>1</v>
      </c>
      <c r="CX99" s="30">
        <v>1</v>
      </c>
      <c r="CY99" s="30">
        <v>1</v>
      </c>
      <c r="CZ99" s="30">
        <v>1</v>
      </c>
      <c r="DA99" s="30">
        <v>1</v>
      </c>
    </row>
    <row r="100" spans="1:105" x14ac:dyDescent="0.3">
      <c r="A100" s="34" t="str">
        <f t="shared" si="3"/>
        <v>Induri - ShellSilk Oreo Large</v>
      </c>
      <c r="B100" s="20" t="s">
        <v>82</v>
      </c>
      <c r="C100" s="20" t="s">
        <v>11</v>
      </c>
      <c r="D100" s="19" t="s">
        <v>40</v>
      </c>
      <c r="E100" s="18" t="s">
        <v>62</v>
      </c>
      <c r="F100" s="30">
        <v>4</v>
      </c>
      <c r="G100" s="30">
        <v>3</v>
      </c>
      <c r="H100" s="30">
        <v>30</v>
      </c>
      <c r="I100" s="41"/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>
        <v>860.83199999999999</v>
      </c>
      <c r="AD100" s="21">
        <v>860.83199999999999</v>
      </c>
      <c r="AE100" s="21">
        <v>860.83199999999999</v>
      </c>
      <c r="AF100" s="21">
        <v>860.83199999999999</v>
      </c>
      <c r="AG100" s="21">
        <v>860.83199999999999</v>
      </c>
      <c r="AH100" s="21">
        <v>860.83199999999999</v>
      </c>
      <c r="AI100" s="21"/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30">
        <v>1</v>
      </c>
      <c r="BG100" s="30">
        <v>1</v>
      </c>
      <c r="BH100" s="30">
        <v>1</v>
      </c>
      <c r="BI100" s="30">
        <v>1</v>
      </c>
      <c r="BJ100" s="30">
        <v>1</v>
      </c>
      <c r="BK100" s="30">
        <v>1</v>
      </c>
      <c r="BL100" s="30">
        <v>1</v>
      </c>
      <c r="BM100" s="30">
        <v>1</v>
      </c>
      <c r="BN100" s="30">
        <v>1</v>
      </c>
      <c r="BO100" s="30">
        <v>1</v>
      </c>
      <c r="BP100" s="30">
        <v>1</v>
      </c>
      <c r="BQ100" s="30">
        <v>1</v>
      </c>
      <c r="BR100" s="30">
        <v>1</v>
      </c>
      <c r="BS100" s="30">
        <v>1</v>
      </c>
      <c r="BT100" s="30">
        <v>1</v>
      </c>
      <c r="BU100" s="30">
        <v>1</v>
      </c>
      <c r="BV100" s="30">
        <v>1</v>
      </c>
      <c r="BW100" s="30">
        <v>1</v>
      </c>
      <c r="BX100" s="30">
        <v>1</v>
      </c>
      <c r="BY100" s="30">
        <v>1</v>
      </c>
      <c r="BZ100" s="30">
        <v>1</v>
      </c>
      <c r="CA100" s="30">
        <v>1</v>
      </c>
      <c r="CB100" s="30">
        <v>1</v>
      </c>
      <c r="CC100" s="30">
        <v>1</v>
      </c>
      <c r="CD100" s="30">
        <v>1</v>
      </c>
      <c r="CE100" s="30">
        <v>1</v>
      </c>
      <c r="CF100" s="30">
        <v>1</v>
      </c>
      <c r="CG100" s="30">
        <v>1</v>
      </c>
      <c r="CH100" s="30">
        <v>1</v>
      </c>
      <c r="CI100" s="30">
        <v>1</v>
      </c>
      <c r="CJ100" s="30">
        <v>1</v>
      </c>
      <c r="CK100" s="30">
        <v>1</v>
      </c>
      <c r="CL100" s="30">
        <v>1</v>
      </c>
      <c r="CM100" s="30">
        <v>1</v>
      </c>
      <c r="CN100" s="30">
        <v>1</v>
      </c>
      <c r="CO100" s="30">
        <v>1</v>
      </c>
      <c r="CP100" s="30">
        <v>1</v>
      </c>
      <c r="CQ100" s="30">
        <v>1</v>
      </c>
      <c r="CR100" s="30">
        <v>1</v>
      </c>
      <c r="CS100" s="30">
        <v>1</v>
      </c>
      <c r="CT100" s="30">
        <v>1</v>
      </c>
      <c r="CU100" s="30">
        <v>1</v>
      </c>
      <c r="CV100" s="30">
        <v>1</v>
      </c>
      <c r="CW100" s="30">
        <v>1</v>
      </c>
      <c r="CX100" s="30">
        <v>1</v>
      </c>
      <c r="CY100" s="30">
        <v>1</v>
      </c>
      <c r="CZ100" s="30">
        <v>1</v>
      </c>
      <c r="DA100" s="30">
        <v>1</v>
      </c>
    </row>
    <row r="101" spans="1:105" x14ac:dyDescent="0.3">
      <c r="A101" s="34" t="str">
        <f t="shared" si="3"/>
        <v>Induri - ShellSilk Oreo Large NEPAL</v>
      </c>
      <c r="B101" s="20" t="s">
        <v>82</v>
      </c>
      <c r="C101" s="20" t="s">
        <v>11</v>
      </c>
      <c r="D101" s="19" t="s">
        <v>40</v>
      </c>
      <c r="E101" s="18" t="s">
        <v>239</v>
      </c>
      <c r="F101" s="30">
        <v>4</v>
      </c>
      <c r="G101" s="30">
        <v>1</v>
      </c>
      <c r="H101" s="30">
        <v>30</v>
      </c>
      <c r="I101" s="41"/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>
        <v>860.83199999999999</v>
      </c>
      <c r="AD101" s="21">
        <v>860.83199999999999</v>
      </c>
      <c r="AE101" s="21">
        <v>860.83199999999999</v>
      </c>
      <c r="AF101" s="21">
        <v>860.83199999999999</v>
      </c>
      <c r="AG101" s="21">
        <v>860.83199999999999</v>
      </c>
      <c r="AH101" s="21">
        <v>860.83199999999999</v>
      </c>
      <c r="AI101" s="21"/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30">
        <v>1</v>
      </c>
      <c r="BG101" s="30">
        <v>1</v>
      </c>
      <c r="BH101" s="30">
        <v>1</v>
      </c>
      <c r="BI101" s="30">
        <v>1</v>
      </c>
      <c r="BJ101" s="30">
        <v>1</v>
      </c>
      <c r="BK101" s="30">
        <v>1</v>
      </c>
      <c r="BL101" s="30">
        <v>1</v>
      </c>
      <c r="BM101" s="30">
        <v>1</v>
      </c>
      <c r="BN101" s="30">
        <v>1</v>
      </c>
      <c r="BO101" s="30">
        <v>1</v>
      </c>
      <c r="BP101" s="30">
        <v>1</v>
      </c>
      <c r="BQ101" s="30">
        <v>1</v>
      </c>
      <c r="BR101" s="30">
        <v>1</v>
      </c>
      <c r="BS101" s="30">
        <v>1</v>
      </c>
      <c r="BT101" s="30">
        <v>1</v>
      </c>
      <c r="BU101" s="30">
        <v>1</v>
      </c>
      <c r="BV101" s="30">
        <v>1</v>
      </c>
      <c r="BW101" s="30">
        <v>1</v>
      </c>
      <c r="BX101" s="30">
        <v>1</v>
      </c>
      <c r="BY101" s="30">
        <v>1</v>
      </c>
      <c r="BZ101" s="30">
        <v>1</v>
      </c>
      <c r="CA101" s="30">
        <v>1</v>
      </c>
      <c r="CB101" s="30">
        <v>1</v>
      </c>
      <c r="CC101" s="30">
        <v>1</v>
      </c>
      <c r="CD101" s="30">
        <v>1</v>
      </c>
      <c r="CE101" s="30">
        <v>1</v>
      </c>
      <c r="CF101" s="30">
        <v>1</v>
      </c>
      <c r="CG101" s="30">
        <v>1</v>
      </c>
      <c r="CH101" s="30">
        <v>1</v>
      </c>
      <c r="CI101" s="30">
        <v>1</v>
      </c>
      <c r="CJ101" s="30">
        <v>1</v>
      </c>
      <c r="CK101" s="30">
        <v>1</v>
      </c>
      <c r="CL101" s="30">
        <v>1</v>
      </c>
      <c r="CM101" s="30">
        <v>1</v>
      </c>
      <c r="CN101" s="30">
        <v>1</v>
      </c>
      <c r="CO101" s="30">
        <v>1</v>
      </c>
      <c r="CP101" s="30">
        <v>1</v>
      </c>
      <c r="CQ101" s="30">
        <v>1</v>
      </c>
      <c r="CR101" s="30">
        <v>1</v>
      </c>
      <c r="CS101" s="30">
        <v>1</v>
      </c>
      <c r="CT101" s="30">
        <v>1</v>
      </c>
      <c r="CU101" s="30">
        <v>1</v>
      </c>
      <c r="CV101" s="30">
        <v>1</v>
      </c>
      <c r="CW101" s="30">
        <v>1</v>
      </c>
      <c r="CX101" s="30">
        <v>1</v>
      </c>
      <c r="CY101" s="30">
        <v>1</v>
      </c>
      <c r="CZ101" s="30">
        <v>1</v>
      </c>
      <c r="DA101" s="30">
        <v>1</v>
      </c>
    </row>
    <row r="102" spans="1:105" x14ac:dyDescent="0.3">
      <c r="A102" s="34" t="str">
        <f t="shared" si="3"/>
        <v>Induri - ShellSilk Oreo Large SEA</v>
      </c>
      <c r="B102" s="20" t="s">
        <v>82</v>
      </c>
      <c r="C102" s="20" t="s">
        <v>11</v>
      </c>
      <c r="D102" s="19" t="s">
        <v>40</v>
      </c>
      <c r="E102" s="18" t="s">
        <v>64</v>
      </c>
      <c r="F102" s="30">
        <v>4</v>
      </c>
      <c r="G102" s="30">
        <v>1</v>
      </c>
      <c r="H102" s="30">
        <v>30</v>
      </c>
      <c r="I102" s="41"/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>
        <v>860.83199999999999</v>
      </c>
      <c r="AD102" s="21">
        <v>860.83199999999999</v>
      </c>
      <c r="AE102" s="21">
        <v>860.83199999999999</v>
      </c>
      <c r="AF102" s="21">
        <v>860.83199999999999</v>
      </c>
      <c r="AG102" s="21">
        <v>860.83199999999999</v>
      </c>
      <c r="AH102" s="21">
        <v>860.83199999999999</v>
      </c>
      <c r="AI102" s="21"/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30">
        <v>1</v>
      </c>
      <c r="BG102" s="30">
        <v>1</v>
      </c>
      <c r="BH102" s="30">
        <v>1</v>
      </c>
      <c r="BI102" s="30">
        <v>1</v>
      </c>
      <c r="BJ102" s="30">
        <v>1</v>
      </c>
      <c r="BK102" s="30">
        <v>1</v>
      </c>
      <c r="BL102" s="30">
        <v>1</v>
      </c>
      <c r="BM102" s="30">
        <v>1</v>
      </c>
      <c r="BN102" s="30">
        <v>1</v>
      </c>
      <c r="BO102" s="30">
        <v>1</v>
      </c>
      <c r="BP102" s="30">
        <v>1</v>
      </c>
      <c r="BQ102" s="30">
        <v>1</v>
      </c>
      <c r="BR102" s="30">
        <v>1</v>
      </c>
      <c r="BS102" s="30">
        <v>1</v>
      </c>
      <c r="BT102" s="30">
        <v>1</v>
      </c>
      <c r="BU102" s="30">
        <v>1</v>
      </c>
      <c r="BV102" s="30">
        <v>1</v>
      </c>
      <c r="BW102" s="30">
        <v>1</v>
      </c>
      <c r="BX102" s="30">
        <v>1</v>
      </c>
      <c r="BY102" s="30">
        <v>1</v>
      </c>
      <c r="BZ102" s="30">
        <v>1</v>
      </c>
      <c r="CA102" s="30">
        <v>1</v>
      </c>
      <c r="CB102" s="30">
        <v>1</v>
      </c>
      <c r="CC102" s="30">
        <v>1</v>
      </c>
      <c r="CD102" s="30">
        <v>1</v>
      </c>
      <c r="CE102" s="30">
        <v>1</v>
      </c>
      <c r="CF102" s="30">
        <v>1</v>
      </c>
      <c r="CG102" s="30">
        <v>1</v>
      </c>
      <c r="CH102" s="30">
        <v>1</v>
      </c>
      <c r="CI102" s="30">
        <v>1</v>
      </c>
      <c r="CJ102" s="30">
        <v>1</v>
      </c>
      <c r="CK102" s="30">
        <v>1</v>
      </c>
      <c r="CL102" s="30">
        <v>1</v>
      </c>
      <c r="CM102" s="30">
        <v>1</v>
      </c>
      <c r="CN102" s="30">
        <v>1</v>
      </c>
      <c r="CO102" s="30">
        <v>1</v>
      </c>
      <c r="CP102" s="30">
        <v>1</v>
      </c>
      <c r="CQ102" s="30">
        <v>1</v>
      </c>
      <c r="CR102" s="30">
        <v>1</v>
      </c>
      <c r="CS102" s="30">
        <v>1</v>
      </c>
      <c r="CT102" s="30">
        <v>1</v>
      </c>
      <c r="CU102" s="30">
        <v>1</v>
      </c>
      <c r="CV102" s="30">
        <v>1</v>
      </c>
      <c r="CW102" s="30">
        <v>1</v>
      </c>
      <c r="CX102" s="30">
        <v>1</v>
      </c>
      <c r="CY102" s="30">
        <v>1</v>
      </c>
      <c r="CZ102" s="30">
        <v>1</v>
      </c>
      <c r="DA102" s="30">
        <v>1</v>
      </c>
    </row>
    <row r="103" spans="1:105" x14ac:dyDescent="0.3">
      <c r="A103" s="34" t="str">
        <f t="shared" si="3"/>
        <v>Induri - ShellSilk Oreo Small</v>
      </c>
      <c r="B103" s="20" t="s">
        <v>82</v>
      </c>
      <c r="C103" s="20" t="s">
        <v>11</v>
      </c>
      <c r="D103" s="19" t="s">
        <v>40</v>
      </c>
      <c r="E103" s="18" t="s">
        <v>61</v>
      </c>
      <c r="F103" s="30">
        <v>9</v>
      </c>
      <c r="G103" s="30">
        <v>1</v>
      </c>
      <c r="H103" s="30">
        <v>30</v>
      </c>
      <c r="I103" s="41"/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>
        <v>949.99999999999989</v>
      </c>
      <c r="AD103" s="21">
        <v>949.99999999999989</v>
      </c>
      <c r="AE103" s="21">
        <v>949.99999999999989</v>
      </c>
      <c r="AF103" s="21">
        <v>949.99999999999989</v>
      </c>
      <c r="AG103" s="21">
        <v>949.99999999999989</v>
      </c>
      <c r="AH103" s="21">
        <v>949.99999999999989</v>
      </c>
      <c r="AI103" s="21"/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30">
        <v>1</v>
      </c>
      <c r="BG103" s="30">
        <v>1</v>
      </c>
      <c r="BH103" s="30">
        <v>1</v>
      </c>
      <c r="BI103" s="30">
        <v>1</v>
      </c>
      <c r="BJ103" s="30">
        <v>1</v>
      </c>
      <c r="BK103" s="30">
        <v>1</v>
      </c>
      <c r="BL103" s="30">
        <v>1</v>
      </c>
      <c r="BM103" s="30">
        <v>1</v>
      </c>
      <c r="BN103" s="30">
        <v>1</v>
      </c>
      <c r="BO103" s="30">
        <v>1</v>
      </c>
      <c r="BP103" s="30">
        <v>1</v>
      </c>
      <c r="BQ103" s="30">
        <v>1</v>
      </c>
      <c r="BR103" s="30">
        <v>1</v>
      </c>
      <c r="BS103" s="30">
        <v>1</v>
      </c>
      <c r="BT103" s="30">
        <v>1</v>
      </c>
      <c r="BU103" s="30">
        <v>1</v>
      </c>
      <c r="BV103" s="30">
        <v>1</v>
      </c>
      <c r="BW103" s="30">
        <v>1</v>
      </c>
      <c r="BX103" s="30">
        <v>1</v>
      </c>
      <c r="BY103" s="30">
        <v>1</v>
      </c>
      <c r="BZ103" s="30">
        <v>1</v>
      </c>
      <c r="CA103" s="30">
        <v>1</v>
      </c>
      <c r="CB103" s="30">
        <v>1</v>
      </c>
      <c r="CC103" s="30">
        <v>1</v>
      </c>
      <c r="CD103" s="30">
        <v>1</v>
      </c>
      <c r="CE103" s="30">
        <v>1</v>
      </c>
      <c r="CF103" s="30">
        <v>1</v>
      </c>
      <c r="CG103" s="30">
        <v>1</v>
      </c>
      <c r="CH103" s="30">
        <v>1</v>
      </c>
      <c r="CI103" s="30">
        <v>1</v>
      </c>
      <c r="CJ103" s="30">
        <v>1</v>
      </c>
      <c r="CK103" s="30">
        <v>1</v>
      </c>
      <c r="CL103" s="30">
        <v>1</v>
      </c>
      <c r="CM103" s="30">
        <v>1</v>
      </c>
      <c r="CN103" s="30">
        <v>1</v>
      </c>
      <c r="CO103" s="30">
        <v>1</v>
      </c>
      <c r="CP103" s="30">
        <v>1</v>
      </c>
      <c r="CQ103" s="30">
        <v>1</v>
      </c>
      <c r="CR103" s="30">
        <v>1</v>
      </c>
      <c r="CS103" s="30">
        <v>1</v>
      </c>
      <c r="CT103" s="30">
        <v>1</v>
      </c>
      <c r="CU103" s="30">
        <v>1</v>
      </c>
      <c r="CV103" s="30">
        <v>1</v>
      </c>
      <c r="CW103" s="30">
        <v>1</v>
      </c>
      <c r="CX103" s="30">
        <v>1</v>
      </c>
      <c r="CY103" s="30">
        <v>1</v>
      </c>
      <c r="CZ103" s="30">
        <v>1</v>
      </c>
      <c r="DA103" s="30">
        <v>1</v>
      </c>
    </row>
    <row r="104" spans="1:105" x14ac:dyDescent="0.3">
      <c r="A104" s="34" t="str">
        <f t="shared" si="3"/>
        <v>Induri - ShellSilk Oreo Small IDTH</v>
      </c>
      <c r="B104" s="20" t="s">
        <v>82</v>
      </c>
      <c r="C104" s="20" t="s">
        <v>11</v>
      </c>
      <c r="D104" s="19" t="s">
        <v>40</v>
      </c>
      <c r="E104" s="18" t="s">
        <v>240</v>
      </c>
      <c r="F104" s="30">
        <v>9</v>
      </c>
      <c r="G104" s="30">
        <v>1</v>
      </c>
      <c r="H104" s="30">
        <v>30</v>
      </c>
      <c r="I104" s="41"/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>
        <v>871.41600000000005</v>
      </c>
      <c r="AD104" s="21">
        <v>871.41600000000005</v>
      </c>
      <c r="AE104" s="21">
        <v>871.41600000000005</v>
      </c>
      <c r="AF104" s="21">
        <v>871.41600000000005</v>
      </c>
      <c r="AG104" s="21">
        <v>871.41600000000005</v>
      </c>
      <c r="AH104" s="21">
        <v>871.41600000000005</v>
      </c>
      <c r="AI104" s="21"/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30">
        <v>1</v>
      </c>
      <c r="BG104" s="30">
        <v>1</v>
      </c>
      <c r="BH104" s="30">
        <v>1</v>
      </c>
      <c r="BI104" s="30">
        <v>1</v>
      </c>
      <c r="BJ104" s="30">
        <v>1</v>
      </c>
      <c r="BK104" s="30">
        <v>1</v>
      </c>
      <c r="BL104" s="30">
        <v>1</v>
      </c>
      <c r="BM104" s="30">
        <v>1</v>
      </c>
      <c r="BN104" s="30">
        <v>1</v>
      </c>
      <c r="BO104" s="30">
        <v>1</v>
      </c>
      <c r="BP104" s="30">
        <v>1</v>
      </c>
      <c r="BQ104" s="30">
        <v>1</v>
      </c>
      <c r="BR104" s="30">
        <v>1</v>
      </c>
      <c r="BS104" s="30">
        <v>1</v>
      </c>
      <c r="BT104" s="30">
        <v>1</v>
      </c>
      <c r="BU104" s="30">
        <v>1</v>
      </c>
      <c r="BV104" s="30">
        <v>1</v>
      </c>
      <c r="BW104" s="30">
        <v>1</v>
      </c>
      <c r="BX104" s="30">
        <v>1</v>
      </c>
      <c r="BY104" s="30">
        <v>1</v>
      </c>
      <c r="BZ104" s="30">
        <v>1</v>
      </c>
      <c r="CA104" s="30">
        <v>1</v>
      </c>
      <c r="CB104" s="30">
        <v>1</v>
      </c>
      <c r="CC104" s="30">
        <v>1</v>
      </c>
      <c r="CD104" s="30">
        <v>1</v>
      </c>
      <c r="CE104" s="30">
        <v>1</v>
      </c>
      <c r="CF104" s="30">
        <v>1</v>
      </c>
      <c r="CG104" s="30">
        <v>1</v>
      </c>
      <c r="CH104" s="30">
        <v>1</v>
      </c>
      <c r="CI104" s="30">
        <v>1</v>
      </c>
      <c r="CJ104" s="30">
        <v>1</v>
      </c>
      <c r="CK104" s="30">
        <v>1</v>
      </c>
      <c r="CL104" s="30">
        <v>1</v>
      </c>
      <c r="CM104" s="30">
        <v>1</v>
      </c>
      <c r="CN104" s="30">
        <v>1</v>
      </c>
      <c r="CO104" s="30">
        <v>1</v>
      </c>
      <c r="CP104" s="30">
        <v>1</v>
      </c>
      <c r="CQ104" s="30">
        <v>1</v>
      </c>
      <c r="CR104" s="30">
        <v>1</v>
      </c>
      <c r="CS104" s="30">
        <v>1</v>
      </c>
      <c r="CT104" s="30">
        <v>1</v>
      </c>
      <c r="CU104" s="30">
        <v>1</v>
      </c>
      <c r="CV104" s="30">
        <v>1</v>
      </c>
      <c r="CW104" s="30">
        <v>1</v>
      </c>
      <c r="CX104" s="30">
        <v>1</v>
      </c>
      <c r="CY104" s="30">
        <v>1</v>
      </c>
      <c r="CZ104" s="30">
        <v>1</v>
      </c>
      <c r="DA104" s="30">
        <v>1</v>
      </c>
    </row>
    <row r="105" spans="1:105" x14ac:dyDescent="0.3">
      <c r="A105" s="34" t="str">
        <f t="shared" si="3"/>
        <v>Induri - ShellSilk Oreo Small NEPAL</v>
      </c>
      <c r="B105" s="20" t="s">
        <v>82</v>
      </c>
      <c r="C105" s="20" t="s">
        <v>11</v>
      </c>
      <c r="D105" s="19" t="s">
        <v>40</v>
      </c>
      <c r="E105" s="18" t="s">
        <v>241</v>
      </c>
      <c r="F105" s="30">
        <v>9</v>
      </c>
      <c r="G105" s="30">
        <v>1</v>
      </c>
      <c r="H105" s="30">
        <v>30</v>
      </c>
      <c r="I105" s="41"/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>
        <v>949.99999999999989</v>
      </c>
      <c r="AD105" s="21">
        <v>949.99999999999989</v>
      </c>
      <c r="AE105" s="21">
        <v>949.99999999999989</v>
      </c>
      <c r="AF105" s="21">
        <v>949.99999999999989</v>
      </c>
      <c r="AG105" s="21">
        <v>949.99999999999989</v>
      </c>
      <c r="AH105" s="21">
        <v>949.99999999999989</v>
      </c>
      <c r="AI105" s="21"/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30">
        <v>1</v>
      </c>
      <c r="BG105" s="30">
        <v>1</v>
      </c>
      <c r="BH105" s="30">
        <v>1</v>
      </c>
      <c r="BI105" s="30">
        <v>1</v>
      </c>
      <c r="BJ105" s="30">
        <v>1</v>
      </c>
      <c r="BK105" s="30">
        <v>1</v>
      </c>
      <c r="BL105" s="30">
        <v>1</v>
      </c>
      <c r="BM105" s="30">
        <v>1</v>
      </c>
      <c r="BN105" s="30">
        <v>1</v>
      </c>
      <c r="BO105" s="30">
        <v>1</v>
      </c>
      <c r="BP105" s="30">
        <v>1</v>
      </c>
      <c r="BQ105" s="30">
        <v>1</v>
      </c>
      <c r="BR105" s="30">
        <v>1</v>
      </c>
      <c r="BS105" s="30">
        <v>1</v>
      </c>
      <c r="BT105" s="30">
        <v>1</v>
      </c>
      <c r="BU105" s="30">
        <v>1</v>
      </c>
      <c r="BV105" s="30">
        <v>1</v>
      </c>
      <c r="BW105" s="30">
        <v>1</v>
      </c>
      <c r="BX105" s="30">
        <v>1</v>
      </c>
      <c r="BY105" s="30">
        <v>1</v>
      </c>
      <c r="BZ105" s="30">
        <v>1</v>
      </c>
      <c r="CA105" s="30">
        <v>1</v>
      </c>
      <c r="CB105" s="30">
        <v>1</v>
      </c>
      <c r="CC105" s="30">
        <v>1</v>
      </c>
      <c r="CD105" s="30">
        <v>1</v>
      </c>
      <c r="CE105" s="30">
        <v>1</v>
      </c>
      <c r="CF105" s="30">
        <v>1</v>
      </c>
      <c r="CG105" s="30">
        <v>1</v>
      </c>
      <c r="CH105" s="30">
        <v>1</v>
      </c>
      <c r="CI105" s="30">
        <v>1</v>
      </c>
      <c r="CJ105" s="30">
        <v>1</v>
      </c>
      <c r="CK105" s="30">
        <v>1</v>
      </c>
      <c r="CL105" s="30">
        <v>1</v>
      </c>
      <c r="CM105" s="30">
        <v>1</v>
      </c>
      <c r="CN105" s="30">
        <v>1</v>
      </c>
      <c r="CO105" s="30">
        <v>1</v>
      </c>
      <c r="CP105" s="30">
        <v>1</v>
      </c>
      <c r="CQ105" s="30">
        <v>1</v>
      </c>
      <c r="CR105" s="30">
        <v>1</v>
      </c>
      <c r="CS105" s="30">
        <v>1</v>
      </c>
      <c r="CT105" s="30">
        <v>1</v>
      </c>
      <c r="CU105" s="30">
        <v>1</v>
      </c>
      <c r="CV105" s="30">
        <v>1</v>
      </c>
      <c r="CW105" s="30">
        <v>1</v>
      </c>
      <c r="CX105" s="30">
        <v>1</v>
      </c>
      <c r="CY105" s="30">
        <v>1</v>
      </c>
      <c r="CZ105" s="30">
        <v>1</v>
      </c>
      <c r="DA105" s="30">
        <v>1</v>
      </c>
    </row>
    <row r="106" spans="1:105" x14ac:dyDescent="0.3">
      <c r="A106" s="34" t="str">
        <f t="shared" si="3"/>
        <v>Induri - ShellSilk Oreo Small SEA</v>
      </c>
      <c r="B106" s="20" t="s">
        <v>82</v>
      </c>
      <c r="C106" s="20" t="s">
        <v>11</v>
      </c>
      <c r="D106" s="19" t="s">
        <v>40</v>
      </c>
      <c r="E106" s="18" t="s">
        <v>63</v>
      </c>
      <c r="F106" s="30">
        <v>9</v>
      </c>
      <c r="G106" s="30">
        <v>1</v>
      </c>
      <c r="H106" s="30">
        <v>30</v>
      </c>
      <c r="I106" s="41"/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>
        <v>949.99999999999989</v>
      </c>
      <c r="AD106" s="21">
        <v>949.99999999999989</v>
      </c>
      <c r="AE106" s="21">
        <v>949.99999999999989</v>
      </c>
      <c r="AF106" s="21">
        <v>949.99999999999989</v>
      </c>
      <c r="AG106" s="21">
        <v>949.99999999999989</v>
      </c>
      <c r="AH106" s="21">
        <v>949.99999999999989</v>
      </c>
      <c r="AI106" s="21"/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30">
        <v>1</v>
      </c>
      <c r="BG106" s="30">
        <v>1</v>
      </c>
      <c r="BH106" s="30">
        <v>1</v>
      </c>
      <c r="BI106" s="30">
        <v>1</v>
      </c>
      <c r="BJ106" s="30">
        <v>1</v>
      </c>
      <c r="BK106" s="30">
        <v>1</v>
      </c>
      <c r="BL106" s="30">
        <v>1</v>
      </c>
      <c r="BM106" s="30">
        <v>1</v>
      </c>
      <c r="BN106" s="30">
        <v>1</v>
      </c>
      <c r="BO106" s="30">
        <v>1</v>
      </c>
      <c r="BP106" s="30">
        <v>1</v>
      </c>
      <c r="BQ106" s="30">
        <v>1</v>
      </c>
      <c r="BR106" s="30">
        <v>1</v>
      </c>
      <c r="BS106" s="30">
        <v>1</v>
      </c>
      <c r="BT106" s="30">
        <v>1</v>
      </c>
      <c r="BU106" s="30">
        <v>1</v>
      </c>
      <c r="BV106" s="30">
        <v>1</v>
      </c>
      <c r="BW106" s="30">
        <v>1</v>
      </c>
      <c r="BX106" s="30">
        <v>1</v>
      </c>
      <c r="BY106" s="30">
        <v>1</v>
      </c>
      <c r="BZ106" s="30">
        <v>1</v>
      </c>
      <c r="CA106" s="30">
        <v>1</v>
      </c>
      <c r="CB106" s="30">
        <v>1</v>
      </c>
      <c r="CC106" s="30">
        <v>1</v>
      </c>
      <c r="CD106" s="30">
        <v>1</v>
      </c>
      <c r="CE106" s="30">
        <v>1</v>
      </c>
      <c r="CF106" s="30">
        <v>1</v>
      </c>
      <c r="CG106" s="30">
        <v>1</v>
      </c>
      <c r="CH106" s="30">
        <v>1</v>
      </c>
      <c r="CI106" s="30">
        <v>1</v>
      </c>
      <c r="CJ106" s="30">
        <v>1</v>
      </c>
      <c r="CK106" s="30">
        <v>1</v>
      </c>
      <c r="CL106" s="30">
        <v>1</v>
      </c>
      <c r="CM106" s="30">
        <v>1</v>
      </c>
      <c r="CN106" s="30">
        <v>1</v>
      </c>
      <c r="CO106" s="30">
        <v>1</v>
      </c>
      <c r="CP106" s="30">
        <v>1</v>
      </c>
      <c r="CQ106" s="30">
        <v>1</v>
      </c>
      <c r="CR106" s="30">
        <v>1</v>
      </c>
      <c r="CS106" s="30">
        <v>1</v>
      </c>
      <c r="CT106" s="30">
        <v>1</v>
      </c>
      <c r="CU106" s="30">
        <v>1</v>
      </c>
      <c r="CV106" s="30">
        <v>1</v>
      </c>
      <c r="CW106" s="30">
        <v>1</v>
      </c>
      <c r="CX106" s="30">
        <v>1</v>
      </c>
      <c r="CY106" s="30">
        <v>1</v>
      </c>
      <c r="CZ106" s="30">
        <v>1</v>
      </c>
      <c r="DA106" s="30">
        <v>1</v>
      </c>
    </row>
    <row r="107" spans="1:105" x14ac:dyDescent="0.3">
      <c r="A107" s="34" t="str">
        <f t="shared" si="3"/>
        <v>Induri - ShellSilk Oreo XS</v>
      </c>
      <c r="B107" s="20" t="s">
        <v>82</v>
      </c>
      <c r="C107" s="20" t="s">
        <v>11</v>
      </c>
      <c r="D107" s="19" t="s">
        <v>40</v>
      </c>
      <c r="E107" s="18" t="s">
        <v>55</v>
      </c>
      <c r="F107" s="30">
        <v>8</v>
      </c>
      <c r="G107" s="30">
        <v>3</v>
      </c>
      <c r="H107" s="30">
        <v>30</v>
      </c>
      <c r="I107" s="41"/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>
        <v>625</v>
      </c>
      <c r="AD107" s="21">
        <v>625</v>
      </c>
      <c r="AE107" s="21">
        <v>625</v>
      </c>
      <c r="AF107" s="21">
        <v>625</v>
      </c>
      <c r="AG107" s="21">
        <v>625</v>
      </c>
      <c r="AH107" s="21">
        <v>625</v>
      </c>
      <c r="AI107" s="21"/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30">
        <v>1</v>
      </c>
      <c r="BG107" s="30">
        <v>1</v>
      </c>
      <c r="BH107" s="30">
        <v>1</v>
      </c>
      <c r="BI107" s="30">
        <v>1</v>
      </c>
      <c r="BJ107" s="30">
        <v>1</v>
      </c>
      <c r="BK107" s="30">
        <v>1</v>
      </c>
      <c r="BL107" s="30">
        <v>1</v>
      </c>
      <c r="BM107" s="30">
        <v>1</v>
      </c>
      <c r="BN107" s="30">
        <v>1</v>
      </c>
      <c r="BO107" s="30">
        <v>1</v>
      </c>
      <c r="BP107" s="30">
        <v>1</v>
      </c>
      <c r="BQ107" s="30">
        <v>1</v>
      </c>
      <c r="BR107" s="30">
        <v>1</v>
      </c>
      <c r="BS107" s="30">
        <v>1</v>
      </c>
      <c r="BT107" s="30">
        <v>1</v>
      </c>
      <c r="BU107" s="30">
        <v>1</v>
      </c>
      <c r="BV107" s="30">
        <v>1</v>
      </c>
      <c r="BW107" s="30">
        <v>1</v>
      </c>
      <c r="BX107" s="30">
        <v>1</v>
      </c>
      <c r="BY107" s="30">
        <v>1</v>
      </c>
      <c r="BZ107" s="30">
        <v>1</v>
      </c>
      <c r="CA107" s="30">
        <v>1</v>
      </c>
      <c r="CB107" s="30">
        <v>1</v>
      </c>
      <c r="CC107" s="30">
        <v>1</v>
      </c>
      <c r="CD107" s="30">
        <v>1</v>
      </c>
      <c r="CE107" s="30">
        <v>1</v>
      </c>
      <c r="CF107" s="30">
        <v>1</v>
      </c>
      <c r="CG107" s="30">
        <v>1</v>
      </c>
      <c r="CH107" s="30">
        <v>1</v>
      </c>
      <c r="CI107" s="30">
        <v>1</v>
      </c>
      <c r="CJ107" s="30">
        <v>1</v>
      </c>
      <c r="CK107" s="30">
        <v>1</v>
      </c>
      <c r="CL107" s="30">
        <v>1</v>
      </c>
      <c r="CM107" s="30">
        <v>1</v>
      </c>
      <c r="CN107" s="30">
        <v>1</v>
      </c>
      <c r="CO107" s="30">
        <v>1</v>
      </c>
      <c r="CP107" s="30">
        <v>1</v>
      </c>
      <c r="CQ107" s="30">
        <v>1</v>
      </c>
      <c r="CR107" s="30">
        <v>1</v>
      </c>
      <c r="CS107" s="30">
        <v>1</v>
      </c>
      <c r="CT107" s="30">
        <v>1</v>
      </c>
      <c r="CU107" s="30">
        <v>1</v>
      </c>
      <c r="CV107" s="30">
        <v>1</v>
      </c>
      <c r="CW107" s="30">
        <v>1</v>
      </c>
      <c r="CX107" s="30">
        <v>1</v>
      </c>
      <c r="CY107" s="30">
        <v>1</v>
      </c>
      <c r="CZ107" s="30">
        <v>1</v>
      </c>
      <c r="DA107" s="30">
        <v>1</v>
      </c>
    </row>
    <row r="108" spans="1:105" x14ac:dyDescent="0.3">
      <c r="A108" s="34" t="str">
        <f t="shared" si="3"/>
        <v>Baddi - E4Silk Plain Large</v>
      </c>
      <c r="B108" s="27" t="s">
        <v>83</v>
      </c>
      <c r="C108" s="20" t="s">
        <v>7</v>
      </c>
      <c r="D108" s="19" t="s">
        <v>40</v>
      </c>
      <c r="E108" s="18" t="s">
        <v>45</v>
      </c>
      <c r="F108" s="30">
        <v>11</v>
      </c>
      <c r="G108" s="30">
        <v>2</v>
      </c>
      <c r="H108" s="30">
        <v>30</v>
      </c>
      <c r="I108" s="41"/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>
        <v>1788.8888888888887</v>
      </c>
      <c r="AD108" s="21">
        <v>1788.8888888888887</v>
      </c>
      <c r="AE108" s="21">
        <v>1788.8888888888887</v>
      </c>
      <c r="AF108" s="21">
        <v>1788.8888888888887</v>
      </c>
      <c r="AG108" s="21">
        <v>1788.8888888888887</v>
      </c>
      <c r="AH108" s="21">
        <v>1788.8888888888887</v>
      </c>
      <c r="AI108" s="21"/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30">
        <v>1</v>
      </c>
      <c r="BG108" s="30">
        <v>1</v>
      </c>
      <c r="BH108" s="30">
        <v>1</v>
      </c>
      <c r="BI108" s="30">
        <v>1</v>
      </c>
      <c r="BJ108" s="30">
        <v>1</v>
      </c>
      <c r="BK108" s="30">
        <v>1</v>
      </c>
      <c r="BL108" s="30">
        <v>1</v>
      </c>
      <c r="BM108" s="30">
        <v>1</v>
      </c>
      <c r="BN108" s="30">
        <v>1</v>
      </c>
      <c r="BO108" s="30">
        <v>1</v>
      </c>
      <c r="BP108" s="30">
        <v>1</v>
      </c>
      <c r="BQ108" s="30">
        <v>1</v>
      </c>
      <c r="BR108" s="30">
        <v>1</v>
      </c>
      <c r="BS108" s="30">
        <v>1</v>
      </c>
      <c r="BT108" s="30">
        <v>1</v>
      </c>
      <c r="BU108" s="30">
        <v>1</v>
      </c>
      <c r="BV108" s="30">
        <v>1</v>
      </c>
      <c r="BW108" s="30">
        <v>1</v>
      </c>
      <c r="BX108" s="30">
        <v>1</v>
      </c>
      <c r="BY108" s="30">
        <v>1</v>
      </c>
      <c r="BZ108" s="30">
        <v>1</v>
      </c>
      <c r="CA108" s="30">
        <v>1</v>
      </c>
      <c r="CB108" s="30">
        <v>1</v>
      </c>
      <c r="CC108" s="30">
        <v>1</v>
      </c>
      <c r="CD108" s="30">
        <v>1</v>
      </c>
      <c r="CE108" s="30">
        <v>1</v>
      </c>
      <c r="CF108" s="30">
        <v>1</v>
      </c>
      <c r="CG108" s="30">
        <v>1</v>
      </c>
      <c r="CH108" s="30">
        <v>1</v>
      </c>
      <c r="CI108" s="30">
        <v>1</v>
      </c>
      <c r="CJ108" s="30">
        <v>1</v>
      </c>
      <c r="CK108" s="30">
        <v>1</v>
      </c>
      <c r="CL108" s="30">
        <v>1</v>
      </c>
      <c r="CM108" s="30">
        <v>1</v>
      </c>
      <c r="CN108" s="30">
        <v>1</v>
      </c>
      <c r="CO108" s="30">
        <v>1</v>
      </c>
      <c r="CP108" s="30">
        <v>1</v>
      </c>
      <c r="CQ108" s="30">
        <v>1</v>
      </c>
      <c r="CR108" s="30">
        <v>1</v>
      </c>
      <c r="CS108" s="30">
        <v>1</v>
      </c>
      <c r="CT108" s="30">
        <v>1</v>
      </c>
      <c r="CU108" s="30">
        <v>1</v>
      </c>
      <c r="CV108" s="30">
        <v>1</v>
      </c>
      <c r="CW108" s="30">
        <v>1</v>
      </c>
      <c r="CX108" s="30">
        <v>1</v>
      </c>
      <c r="CY108" s="30">
        <v>1</v>
      </c>
      <c r="CZ108" s="30">
        <v>1</v>
      </c>
      <c r="DA108" s="30">
        <v>1</v>
      </c>
    </row>
    <row r="109" spans="1:105" x14ac:dyDescent="0.3">
      <c r="A109" s="34" t="str">
        <f t="shared" si="3"/>
        <v>Sricity - NMLSilk Plain Large</v>
      </c>
      <c r="B109" s="20" t="s">
        <v>81</v>
      </c>
      <c r="C109" s="20" t="s">
        <v>17</v>
      </c>
      <c r="D109" s="19" t="s">
        <v>40</v>
      </c>
      <c r="E109" s="18" t="s">
        <v>45</v>
      </c>
      <c r="F109" s="30">
        <v>5</v>
      </c>
      <c r="G109" s="30">
        <v>3</v>
      </c>
      <c r="H109" s="30">
        <v>30</v>
      </c>
      <c r="I109" s="41"/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>
        <v>2390.0462962962961</v>
      </c>
      <c r="AD109" s="21">
        <v>2390.0462962962961</v>
      </c>
      <c r="AE109" s="21">
        <v>2390.0462962962961</v>
      </c>
      <c r="AF109" s="21">
        <v>2390.0462962962961</v>
      </c>
      <c r="AG109" s="21">
        <v>2390.0462962962961</v>
      </c>
      <c r="AH109" s="21">
        <v>2390.0462962962961</v>
      </c>
      <c r="AI109" s="21"/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30">
        <v>1</v>
      </c>
      <c r="BG109" s="30">
        <v>1</v>
      </c>
      <c r="BH109" s="30">
        <v>1</v>
      </c>
      <c r="BI109" s="30">
        <v>1</v>
      </c>
      <c r="BJ109" s="30">
        <v>1</v>
      </c>
      <c r="BK109" s="30">
        <v>1</v>
      </c>
      <c r="BL109" s="30">
        <v>1</v>
      </c>
      <c r="BM109" s="30">
        <v>1</v>
      </c>
      <c r="BN109" s="30">
        <v>1</v>
      </c>
      <c r="BO109" s="30">
        <v>1</v>
      </c>
      <c r="BP109" s="30">
        <v>1</v>
      </c>
      <c r="BQ109" s="30">
        <v>1</v>
      </c>
      <c r="BR109" s="30">
        <v>1</v>
      </c>
      <c r="BS109" s="30">
        <v>1</v>
      </c>
      <c r="BT109" s="30">
        <v>1</v>
      </c>
      <c r="BU109" s="30">
        <v>1</v>
      </c>
      <c r="BV109" s="30">
        <v>1</v>
      </c>
      <c r="BW109" s="30">
        <v>1</v>
      </c>
      <c r="BX109" s="30">
        <v>1</v>
      </c>
      <c r="BY109" s="30">
        <v>1</v>
      </c>
      <c r="BZ109" s="30">
        <v>1</v>
      </c>
      <c r="CA109" s="30">
        <v>1</v>
      </c>
      <c r="CB109" s="30">
        <v>1</v>
      </c>
      <c r="CC109" s="30">
        <v>1</v>
      </c>
      <c r="CD109" s="30">
        <v>1</v>
      </c>
      <c r="CE109" s="30">
        <v>1</v>
      </c>
      <c r="CF109" s="30">
        <v>1</v>
      </c>
      <c r="CG109" s="30">
        <v>1</v>
      </c>
      <c r="CH109" s="30">
        <v>1</v>
      </c>
      <c r="CI109" s="30">
        <v>1</v>
      </c>
      <c r="CJ109" s="30">
        <v>1</v>
      </c>
      <c r="CK109" s="30">
        <v>1</v>
      </c>
      <c r="CL109" s="30">
        <v>1</v>
      </c>
      <c r="CM109" s="30">
        <v>1</v>
      </c>
      <c r="CN109" s="30">
        <v>1</v>
      </c>
      <c r="CO109" s="30">
        <v>1</v>
      </c>
      <c r="CP109" s="30">
        <v>1</v>
      </c>
      <c r="CQ109" s="30">
        <v>1</v>
      </c>
      <c r="CR109" s="30">
        <v>1</v>
      </c>
      <c r="CS109" s="30">
        <v>1</v>
      </c>
      <c r="CT109" s="30">
        <v>1</v>
      </c>
      <c r="CU109" s="30">
        <v>1</v>
      </c>
      <c r="CV109" s="30">
        <v>1</v>
      </c>
      <c r="CW109" s="30">
        <v>1</v>
      </c>
      <c r="CX109" s="30">
        <v>1</v>
      </c>
      <c r="CY109" s="30">
        <v>1</v>
      </c>
      <c r="CZ109" s="30">
        <v>1</v>
      </c>
      <c r="DA109" s="30">
        <v>1</v>
      </c>
    </row>
    <row r="110" spans="1:105" x14ac:dyDescent="0.3">
      <c r="A110" s="34" t="str">
        <f t="shared" si="3"/>
        <v>Baddi - E4Silk Plain Large Omni</v>
      </c>
      <c r="B110" s="27" t="s">
        <v>83</v>
      </c>
      <c r="C110" s="20" t="s">
        <v>7</v>
      </c>
      <c r="D110" s="19" t="s">
        <v>40</v>
      </c>
      <c r="E110" s="18" t="s">
        <v>46</v>
      </c>
      <c r="F110" s="30">
        <v>12</v>
      </c>
      <c r="G110" s="30">
        <v>3</v>
      </c>
      <c r="H110" s="30">
        <v>30</v>
      </c>
      <c r="I110" s="41"/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>
        <v>1916.6666666666667</v>
      </c>
      <c r="AD110" s="21">
        <v>1916.6666666666667</v>
      </c>
      <c r="AE110" s="21">
        <v>1916.6666666666667</v>
      </c>
      <c r="AF110" s="21">
        <v>1916.6666666666667</v>
      </c>
      <c r="AG110" s="21">
        <v>1916.6666666666667</v>
      </c>
      <c r="AH110" s="21">
        <v>1916.6666666666667</v>
      </c>
      <c r="AI110" s="21"/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30">
        <v>1</v>
      </c>
      <c r="BG110" s="30">
        <v>1</v>
      </c>
      <c r="BH110" s="30">
        <v>1</v>
      </c>
      <c r="BI110" s="30">
        <v>1</v>
      </c>
      <c r="BJ110" s="30">
        <v>1</v>
      </c>
      <c r="BK110" s="30">
        <v>1</v>
      </c>
      <c r="BL110" s="30">
        <v>1</v>
      </c>
      <c r="BM110" s="30">
        <v>1</v>
      </c>
      <c r="BN110" s="30">
        <v>1</v>
      </c>
      <c r="BO110" s="30">
        <v>1</v>
      </c>
      <c r="BP110" s="30">
        <v>1</v>
      </c>
      <c r="BQ110" s="30">
        <v>1</v>
      </c>
      <c r="BR110" s="30">
        <v>1</v>
      </c>
      <c r="BS110" s="30">
        <v>1</v>
      </c>
      <c r="BT110" s="30">
        <v>1</v>
      </c>
      <c r="BU110" s="30">
        <v>1</v>
      </c>
      <c r="BV110" s="30">
        <v>1</v>
      </c>
      <c r="BW110" s="30">
        <v>1</v>
      </c>
      <c r="BX110" s="30">
        <v>1</v>
      </c>
      <c r="BY110" s="30">
        <v>1</v>
      </c>
      <c r="BZ110" s="30">
        <v>1</v>
      </c>
      <c r="CA110" s="30">
        <v>1</v>
      </c>
      <c r="CB110" s="30">
        <v>1</v>
      </c>
      <c r="CC110" s="30">
        <v>1</v>
      </c>
      <c r="CD110" s="30">
        <v>1</v>
      </c>
      <c r="CE110" s="30">
        <v>1</v>
      </c>
      <c r="CF110" s="30">
        <v>1</v>
      </c>
      <c r="CG110" s="30">
        <v>1</v>
      </c>
      <c r="CH110" s="30">
        <v>1</v>
      </c>
      <c r="CI110" s="30">
        <v>1</v>
      </c>
      <c r="CJ110" s="30">
        <v>1</v>
      </c>
      <c r="CK110" s="30">
        <v>1</v>
      </c>
      <c r="CL110" s="30">
        <v>1</v>
      </c>
      <c r="CM110" s="30">
        <v>1</v>
      </c>
      <c r="CN110" s="30">
        <v>1</v>
      </c>
      <c r="CO110" s="30">
        <v>1</v>
      </c>
      <c r="CP110" s="30">
        <v>1</v>
      </c>
      <c r="CQ110" s="30">
        <v>1</v>
      </c>
      <c r="CR110" s="30">
        <v>1</v>
      </c>
      <c r="CS110" s="30">
        <v>1</v>
      </c>
      <c r="CT110" s="30">
        <v>1</v>
      </c>
      <c r="CU110" s="30">
        <v>1</v>
      </c>
      <c r="CV110" s="30">
        <v>1</v>
      </c>
      <c r="CW110" s="30">
        <v>1</v>
      </c>
      <c r="CX110" s="30">
        <v>1</v>
      </c>
      <c r="CY110" s="30">
        <v>1</v>
      </c>
      <c r="CZ110" s="30">
        <v>1</v>
      </c>
      <c r="DA110" s="30">
        <v>1</v>
      </c>
    </row>
    <row r="111" spans="1:105" x14ac:dyDescent="0.3">
      <c r="A111" s="34" t="str">
        <f t="shared" si="3"/>
        <v>Baddi - E4Silk Plain Small</v>
      </c>
      <c r="B111" s="27" t="s">
        <v>83</v>
      </c>
      <c r="C111" s="20" t="s">
        <v>7</v>
      </c>
      <c r="D111" s="19" t="s">
        <v>40</v>
      </c>
      <c r="E111" s="18" t="s">
        <v>43</v>
      </c>
      <c r="F111" s="30">
        <v>1</v>
      </c>
      <c r="G111" s="30">
        <v>2</v>
      </c>
      <c r="H111" s="30">
        <v>30</v>
      </c>
      <c r="I111" s="41"/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>
        <v>1811.2829324169531</v>
      </c>
      <c r="AD111" s="21">
        <v>1811.2829324169531</v>
      </c>
      <c r="AE111" s="21">
        <v>1811.2829324169531</v>
      </c>
      <c r="AF111" s="21">
        <v>1811.2829324169531</v>
      </c>
      <c r="AG111" s="21">
        <v>1811.2829324169531</v>
      </c>
      <c r="AH111" s="21">
        <v>1811.2829324169531</v>
      </c>
      <c r="AI111" s="21"/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30">
        <v>1</v>
      </c>
      <c r="BG111" s="30">
        <v>1</v>
      </c>
      <c r="BH111" s="30">
        <v>1</v>
      </c>
      <c r="BI111" s="30">
        <v>1</v>
      </c>
      <c r="BJ111" s="30">
        <v>1</v>
      </c>
      <c r="BK111" s="30">
        <v>1</v>
      </c>
      <c r="BL111" s="30">
        <v>1</v>
      </c>
      <c r="BM111" s="30">
        <v>1</v>
      </c>
      <c r="BN111" s="30">
        <v>1</v>
      </c>
      <c r="BO111" s="30">
        <v>1</v>
      </c>
      <c r="BP111" s="30">
        <v>1</v>
      </c>
      <c r="BQ111" s="30">
        <v>1</v>
      </c>
      <c r="BR111" s="30">
        <v>1</v>
      </c>
      <c r="BS111" s="30">
        <v>1</v>
      </c>
      <c r="BT111" s="30">
        <v>1</v>
      </c>
      <c r="BU111" s="30">
        <v>1</v>
      </c>
      <c r="BV111" s="30">
        <v>1</v>
      </c>
      <c r="BW111" s="30">
        <v>1</v>
      </c>
      <c r="BX111" s="30">
        <v>1</v>
      </c>
      <c r="BY111" s="30">
        <v>1</v>
      </c>
      <c r="BZ111" s="30">
        <v>1</v>
      </c>
      <c r="CA111" s="30">
        <v>1</v>
      </c>
      <c r="CB111" s="30">
        <v>1</v>
      </c>
      <c r="CC111" s="30">
        <v>1</v>
      </c>
      <c r="CD111" s="30">
        <v>1</v>
      </c>
      <c r="CE111" s="30">
        <v>1</v>
      </c>
      <c r="CF111" s="30">
        <v>1</v>
      </c>
      <c r="CG111" s="30">
        <v>1</v>
      </c>
      <c r="CH111" s="30">
        <v>1</v>
      </c>
      <c r="CI111" s="30">
        <v>1</v>
      </c>
      <c r="CJ111" s="30">
        <v>1</v>
      </c>
      <c r="CK111" s="30">
        <v>1</v>
      </c>
      <c r="CL111" s="30">
        <v>1</v>
      </c>
      <c r="CM111" s="30">
        <v>1</v>
      </c>
      <c r="CN111" s="30">
        <v>1</v>
      </c>
      <c r="CO111" s="30">
        <v>1</v>
      </c>
      <c r="CP111" s="30">
        <v>1</v>
      </c>
      <c r="CQ111" s="30">
        <v>1</v>
      </c>
      <c r="CR111" s="30">
        <v>1</v>
      </c>
      <c r="CS111" s="30">
        <v>1</v>
      </c>
      <c r="CT111" s="30">
        <v>1</v>
      </c>
      <c r="CU111" s="30">
        <v>1</v>
      </c>
      <c r="CV111" s="30">
        <v>1</v>
      </c>
      <c r="CW111" s="30">
        <v>1</v>
      </c>
      <c r="CX111" s="30">
        <v>1</v>
      </c>
      <c r="CY111" s="30">
        <v>1</v>
      </c>
      <c r="CZ111" s="30">
        <v>1</v>
      </c>
      <c r="DA111" s="30">
        <v>1</v>
      </c>
    </row>
    <row r="112" spans="1:105" x14ac:dyDescent="0.3">
      <c r="A112" s="34" t="str">
        <f t="shared" si="3"/>
        <v>Induri - ShellSilk Plain Small</v>
      </c>
      <c r="B112" s="20" t="s">
        <v>82</v>
      </c>
      <c r="C112" s="20" t="s">
        <v>11</v>
      </c>
      <c r="D112" s="19" t="s">
        <v>40</v>
      </c>
      <c r="E112" s="18" t="s">
        <v>43</v>
      </c>
      <c r="F112" s="30">
        <v>1</v>
      </c>
      <c r="G112" s="30">
        <v>2</v>
      </c>
      <c r="H112" s="30">
        <v>30</v>
      </c>
      <c r="I112" s="41"/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>
        <v>857.31958762886597</v>
      </c>
      <c r="AD112" s="21">
        <v>857.31958762886597</v>
      </c>
      <c r="AE112" s="21">
        <v>857.31958762886597</v>
      </c>
      <c r="AF112" s="21">
        <v>857.31958762886597</v>
      </c>
      <c r="AG112" s="21">
        <v>857.31958762886597</v>
      </c>
      <c r="AH112" s="21">
        <v>857.31958762886597</v>
      </c>
      <c r="AI112" s="21"/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30">
        <v>1</v>
      </c>
      <c r="BG112" s="30">
        <v>1</v>
      </c>
      <c r="BH112" s="30">
        <v>1</v>
      </c>
      <c r="BI112" s="30">
        <v>1</v>
      </c>
      <c r="BJ112" s="30">
        <v>1</v>
      </c>
      <c r="BK112" s="30">
        <v>1</v>
      </c>
      <c r="BL112" s="30">
        <v>1</v>
      </c>
      <c r="BM112" s="30">
        <v>1</v>
      </c>
      <c r="BN112" s="30">
        <v>1</v>
      </c>
      <c r="BO112" s="30">
        <v>1</v>
      </c>
      <c r="BP112" s="30">
        <v>1</v>
      </c>
      <c r="BQ112" s="30">
        <v>1</v>
      </c>
      <c r="BR112" s="30">
        <v>1</v>
      </c>
      <c r="BS112" s="30">
        <v>1</v>
      </c>
      <c r="BT112" s="30">
        <v>1</v>
      </c>
      <c r="BU112" s="30">
        <v>1</v>
      </c>
      <c r="BV112" s="30">
        <v>1</v>
      </c>
      <c r="BW112" s="30">
        <v>1</v>
      </c>
      <c r="BX112" s="30">
        <v>1</v>
      </c>
      <c r="BY112" s="30">
        <v>1</v>
      </c>
      <c r="BZ112" s="30">
        <v>1</v>
      </c>
      <c r="CA112" s="30">
        <v>1</v>
      </c>
      <c r="CB112" s="30">
        <v>1</v>
      </c>
      <c r="CC112" s="30">
        <v>1</v>
      </c>
      <c r="CD112" s="30">
        <v>1</v>
      </c>
      <c r="CE112" s="30">
        <v>1</v>
      </c>
      <c r="CF112" s="30">
        <v>1</v>
      </c>
      <c r="CG112" s="30">
        <v>1</v>
      </c>
      <c r="CH112" s="30">
        <v>1</v>
      </c>
      <c r="CI112" s="30">
        <v>1</v>
      </c>
      <c r="CJ112" s="30">
        <v>1</v>
      </c>
      <c r="CK112" s="30">
        <v>1</v>
      </c>
      <c r="CL112" s="30">
        <v>1</v>
      </c>
      <c r="CM112" s="30">
        <v>1</v>
      </c>
      <c r="CN112" s="30">
        <v>1</v>
      </c>
      <c r="CO112" s="30">
        <v>1</v>
      </c>
      <c r="CP112" s="30">
        <v>1</v>
      </c>
      <c r="CQ112" s="30">
        <v>1</v>
      </c>
      <c r="CR112" s="30">
        <v>1</v>
      </c>
      <c r="CS112" s="30">
        <v>1</v>
      </c>
      <c r="CT112" s="30">
        <v>1</v>
      </c>
      <c r="CU112" s="30">
        <v>1</v>
      </c>
      <c r="CV112" s="30">
        <v>1</v>
      </c>
      <c r="CW112" s="30">
        <v>1</v>
      </c>
      <c r="CX112" s="30">
        <v>1</v>
      </c>
      <c r="CY112" s="30">
        <v>1</v>
      </c>
      <c r="CZ112" s="30">
        <v>1</v>
      </c>
      <c r="DA112" s="30">
        <v>1</v>
      </c>
    </row>
    <row r="113" spans="1:105" x14ac:dyDescent="0.3">
      <c r="A113" s="34" t="str">
        <f t="shared" si="3"/>
        <v>Sricity - NMLSilk Plain Small</v>
      </c>
      <c r="B113" s="20" t="s">
        <v>81</v>
      </c>
      <c r="C113" s="20" t="s">
        <v>17</v>
      </c>
      <c r="D113" s="19" t="s">
        <v>40</v>
      </c>
      <c r="E113" s="18" t="s">
        <v>43</v>
      </c>
      <c r="F113" s="30">
        <v>3</v>
      </c>
      <c r="G113" s="30">
        <v>3</v>
      </c>
      <c r="H113" s="30">
        <v>30</v>
      </c>
      <c r="I113" s="41"/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>
        <v>1260.0229095074455</v>
      </c>
      <c r="AD113" s="21">
        <v>1260.0229095074455</v>
      </c>
      <c r="AE113" s="21">
        <v>1260.0229095074455</v>
      </c>
      <c r="AF113" s="21">
        <v>1260.0229095074455</v>
      </c>
      <c r="AG113" s="21">
        <v>1260.0229095074455</v>
      </c>
      <c r="AH113" s="21">
        <v>1260.0229095074455</v>
      </c>
      <c r="AI113" s="21"/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30">
        <v>1</v>
      </c>
      <c r="BG113" s="30">
        <v>1</v>
      </c>
      <c r="BH113" s="30">
        <v>1</v>
      </c>
      <c r="BI113" s="30">
        <v>1</v>
      </c>
      <c r="BJ113" s="30">
        <v>1</v>
      </c>
      <c r="BK113" s="30">
        <v>1</v>
      </c>
      <c r="BL113" s="30">
        <v>1</v>
      </c>
      <c r="BM113" s="30">
        <v>1</v>
      </c>
      <c r="BN113" s="30">
        <v>1</v>
      </c>
      <c r="BO113" s="30">
        <v>1</v>
      </c>
      <c r="BP113" s="30">
        <v>1</v>
      </c>
      <c r="BQ113" s="30">
        <v>1</v>
      </c>
      <c r="BR113" s="30">
        <v>1</v>
      </c>
      <c r="BS113" s="30">
        <v>1</v>
      </c>
      <c r="BT113" s="30">
        <v>1</v>
      </c>
      <c r="BU113" s="30">
        <v>1</v>
      </c>
      <c r="BV113" s="30">
        <v>1</v>
      </c>
      <c r="BW113" s="30">
        <v>1</v>
      </c>
      <c r="BX113" s="30">
        <v>1</v>
      </c>
      <c r="BY113" s="30">
        <v>1</v>
      </c>
      <c r="BZ113" s="30">
        <v>1</v>
      </c>
      <c r="CA113" s="30">
        <v>1</v>
      </c>
      <c r="CB113" s="30">
        <v>1</v>
      </c>
      <c r="CC113" s="30">
        <v>1</v>
      </c>
      <c r="CD113" s="30">
        <v>1</v>
      </c>
      <c r="CE113" s="30">
        <v>1</v>
      </c>
      <c r="CF113" s="30">
        <v>1</v>
      </c>
      <c r="CG113" s="30">
        <v>1</v>
      </c>
      <c r="CH113" s="30">
        <v>1</v>
      </c>
      <c r="CI113" s="30">
        <v>1</v>
      </c>
      <c r="CJ113" s="30">
        <v>1</v>
      </c>
      <c r="CK113" s="30">
        <v>1</v>
      </c>
      <c r="CL113" s="30">
        <v>1</v>
      </c>
      <c r="CM113" s="30">
        <v>1</v>
      </c>
      <c r="CN113" s="30">
        <v>1</v>
      </c>
      <c r="CO113" s="30">
        <v>1</v>
      </c>
      <c r="CP113" s="30">
        <v>1</v>
      </c>
      <c r="CQ113" s="30">
        <v>1</v>
      </c>
      <c r="CR113" s="30">
        <v>1</v>
      </c>
      <c r="CS113" s="30">
        <v>1</v>
      </c>
      <c r="CT113" s="30">
        <v>1</v>
      </c>
      <c r="CU113" s="30">
        <v>1</v>
      </c>
      <c r="CV113" s="30">
        <v>1</v>
      </c>
      <c r="CW113" s="30">
        <v>1</v>
      </c>
      <c r="CX113" s="30">
        <v>1</v>
      </c>
      <c r="CY113" s="30">
        <v>1</v>
      </c>
      <c r="CZ113" s="30">
        <v>1</v>
      </c>
      <c r="DA113" s="30">
        <v>1</v>
      </c>
    </row>
    <row r="114" spans="1:105" x14ac:dyDescent="0.3">
      <c r="A114" s="34" t="str">
        <f t="shared" si="3"/>
        <v>Baddi - E4Silk Plain Small NEPAL</v>
      </c>
      <c r="B114" s="27" t="s">
        <v>83</v>
      </c>
      <c r="C114" s="20" t="s">
        <v>7</v>
      </c>
      <c r="D114" s="19" t="s">
        <v>40</v>
      </c>
      <c r="E114" s="18" t="s">
        <v>242</v>
      </c>
      <c r="F114" s="30">
        <v>1</v>
      </c>
      <c r="G114" s="30">
        <v>1</v>
      </c>
      <c r="H114" s="30">
        <v>30</v>
      </c>
      <c r="I114" s="41"/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>
        <v>1811.2829324169531</v>
      </c>
      <c r="AD114" s="21">
        <v>1811.2829324169531</v>
      </c>
      <c r="AE114" s="21">
        <v>1811.2829324169531</v>
      </c>
      <c r="AF114" s="21">
        <v>1811.2829324169531</v>
      </c>
      <c r="AG114" s="21">
        <v>1811.2829324169531</v>
      </c>
      <c r="AH114" s="21">
        <v>1811.2829324169531</v>
      </c>
      <c r="AI114" s="21"/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30">
        <v>1</v>
      </c>
      <c r="BG114" s="30">
        <v>1</v>
      </c>
      <c r="BH114" s="30">
        <v>1</v>
      </c>
      <c r="BI114" s="30">
        <v>1</v>
      </c>
      <c r="BJ114" s="30">
        <v>1</v>
      </c>
      <c r="BK114" s="30">
        <v>1</v>
      </c>
      <c r="BL114" s="30">
        <v>1</v>
      </c>
      <c r="BM114" s="30">
        <v>1</v>
      </c>
      <c r="BN114" s="30">
        <v>1</v>
      </c>
      <c r="BO114" s="30">
        <v>1</v>
      </c>
      <c r="BP114" s="30">
        <v>1</v>
      </c>
      <c r="BQ114" s="30">
        <v>1</v>
      </c>
      <c r="BR114" s="30">
        <v>1</v>
      </c>
      <c r="BS114" s="30">
        <v>1</v>
      </c>
      <c r="BT114" s="30">
        <v>1</v>
      </c>
      <c r="BU114" s="30">
        <v>1</v>
      </c>
      <c r="BV114" s="30">
        <v>1</v>
      </c>
      <c r="BW114" s="30">
        <v>1</v>
      </c>
      <c r="BX114" s="30">
        <v>1</v>
      </c>
      <c r="BY114" s="30">
        <v>1</v>
      </c>
      <c r="BZ114" s="30">
        <v>1</v>
      </c>
      <c r="CA114" s="30">
        <v>1</v>
      </c>
      <c r="CB114" s="30">
        <v>1</v>
      </c>
      <c r="CC114" s="30">
        <v>1</v>
      </c>
      <c r="CD114" s="30">
        <v>1</v>
      </c>
      <c r="CE114" s="30">
        <v>1</v>
      </c>
      <c r="CF114" s="30">
        <v>1</v>
      </c>
      <c r="CG114" s="30">
        <v>1</v>
      </c>
      <c r="CH114" s="30">
        <v>1</v>
      </c>
      <c r="CI114" s="30">
        <v>1</v>
      </c>
      <c r="CJ114" s="30">
        <v>1</v>
      </c>
      <c r="CK114" s="30">
        <v>1</v>
      </c>
      <c r="CL114" s="30">
        <v>1</v>
      </c>
      <c r="CM114" s="30">
        <v>1</v>
      </c>
      <c r="CN114" s="30">
        <v>1</v>
      </c>
      <c r="CO114" s="30">
        <v>1</v>
      </c>
      <c r="CP114" s="30">
        <v>1</v>
      </c>
      <c r="CQ114" s="30">
        <v>1</v>
      </c>
      <c r="CR114" s="30">
        <v>1</v>
      </c>
      <c r="CS114" s="30">
        <v>1</v>
      </c>
      <c r="CT114" s="30">
        <v>1</v>
      </c>
      <c r="CU114" s="30">
        <v>1</v>
      </c>
      <c r="CV114" s="30">
        <v>1</v>
      </c>
      <c r="CW114" s="30">
        <v>1</v>
      </c>
      <c r="CX114" s="30">
        <v>1</v>
      </c>
      <c r="CY114" s="30">
        <v>1</v>
      </c>
      <c r="CZ114" s="30">
        <v>1</v>
      </c>
      <c r="DA114" s="30">
        <v>1</v>
      </c>
    </row>
    <row r="115" spans="1:105" x14ac:dyDescent="0.3">
      <c r="A115" s="34" t="str">
        <f t="shared" si="3"/>
        <v>Induri - ShellSilk Plain Small NEPAL</v>
      </c>
      <c r="B115" s="20" t="s">
        <v>82</v>
      </c>
      <c r="C115" s="20" t="s">
        <v>11</v>
      </c>
      <c r="D115" s="19" t="s">
        <v>40</v>
      </c>
      <c r="E115" s="18" t="s">
        <v>242</v>
      </c>
      <c r="F115" s="30">
        <v>1</v>
      </c>
      <c r="G115" s="30">
        <v>1</v>
      </c>
      <c r="H115" s="30">
        <v>30</v>
      </c>
      <c r="I115" s="41"/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>
        <v>857.31958762886597</v>
      </c>
      <c r="AD115" s="21">
        <v>857.31958762886597</v>
      </c>
      <c r="AE115" s="21">
        <v>857.31958762886597</v>
      </c>
      <c r="AF115" s="21">
        <v>857.31958762886597</v>
      </c>
      <c r="AG115" s="21">
        <v>857.31958762886597</v>
      </c>
      <c r="AH115" s="21">
        <v>857.31958762886597</v>
      </c>
      <c r="AI115" s="21"/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30">
        <v>1</v>
      </c>
      <c r="BG115" s="30">
        <v>1</v>
      </c>
      <c r="BH115" s="30">
        <v>1</v>
      </c>
      <c r="BI115" s="30">
        <v>1</v>
      </c>
      <c r="BJ115" s="30">
        <v>1</v>
      </c>
      <c r="BK115" s="30">
        <v>1</v>
      </c>
      <c r="BL115" s="30">
        <v>1</v>
      </c>
      <c r="BM115" s="30">
        <v>1</v>
      </c>
      <c r="BN115" s="30">
        <v>1</v>
      </c>
      <c r="BO115" s="30">
        <v>1</v>
      </c>
      <c r="BP115" s="30">
        <v>1</v>
      </c>
      <c r="BQ115" s="30">
        <v>1</v>
      </c>
      <c r="BR115" s="30">
        <v>1</v>
      </c>
      <c r="BS115" s="30">
        <v>1</v>
      </c>
      <c r="BT115" s="30">
        <v>1</v>
      </c>
      <c r="BU115" s="30">
        <v>1</v>
      </c>
      <c r="BV115" s="30">
        <v>1</v>
      </c>
      <c r="BW115" s="30">
        <v>1</v>
      </c>
      <c r="BX115" s="30">
        <v>1</v>
      </c>
      <c r="BY115" s="30">
        <v>1</v>
      </c>
      <c r="BZ115" s="30">
        <v>1</v>
      </c>
      <c r="CA115" s="30">
        <v>1</v>
      </c>
      <c r="CB115" s="30">
        <v>1</v>
      </c>
      <c r="CC115" s="30">
        <v>1</v>
      </c>
      <c r="CD115" s="30">
        <v>1</v>
      </c>
      <c r="CE115" s="30">
        <v>1</v>
      </c>
      <c r="CF115" s="30">
        <v>1</v>
      </c>
      <c r="CG115" s="30">
        <v>1</v>
      </c>
      <c r="CH115" s="30">
        <v>1</v>
      </c>
      <c r="CI115" s="30">
        <v>1</v>
      </c>
      <c r="CJ115" s="30">
        <v>1</v>
      </c>
      <c r="CK115" s="30">
        <v>1</v>
      </c>
      <c r="CL115" s="30">
        <v>1</v>
      </c>
      <c r="CM115" s="30">
        <v>1</v>
      </c>
      <c r="CN115" s="30">
        <v>1</v>
      </c>
      <c r="CO115" s="30">
        <v>1</v>
      </c>
      <c r="CP115" s="30">
        <v>1</v>
      </c>
      <c r="CQ115" s="30">
        <v>1</v>
      </c>
      <c r="CR115" s="30">
        <v>1</v>
      </c>
      <c r="CS115" s="30">
        <v>1</v>
      </c>
      <c r="CT115" s="30">
        <v>1</v>
      </c>
      <c r="CU115" s="30">
        <v>1</v>
      </c>
      <c r="CV115" s="30">
        <v>1</v>
      </c>
      <c r="CW115" s="30">
        <v>1</v>
      </c>
      <c r="CX115" s="30">
        <v>1</v>
      </c>
      <c r="CY115" s="30">
        <v>1</v>
      </c>
      <c r="CZ115" s="30">
        <v>1</v>
      </c>
      <c r="DA115" s="30">
        <v>1</v>
      </c>
    </row>
    <row r="116" spans="1:105" x14ac:dyDescent="0.3">
      <c r="A116" s="34" t="str">
        <f t="shared" si="3"/>
        <v>Sricity - NMLSilk Plain Small NEPAL</v>
      </c>
      <c r="B116" s="20" t="s">
        <v>81</v>
      </c>
      <c r="C116" s="20" t="s">
        <v>17</v>
      </c>
      <c r="D116" s="19" t="s">
        <v>40</v>
      </c>
      <c r="E116" s="18" t="s">
        <v>242</v>
      </c>
      <c r="F116" s="30">
        <v>3</v>
      </c>
      <c r="G116" s="30">
        <v>1</v>
      </c>
      <c r="H116" s="30">
        <v>30</v>
      </c>
      <c r="I116" s="41"/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>
        <v>1260.0229095074455</v>
      </c>
      <c r="AD116" s="21">
        <v>1260.0229095074455</v>
      </c>
      <c r="AE116" s="21">
        <v>1260.0229095074455</v>
      </c>
      <c r="AF116" s="21">
        <v>1260.0229095074455</v>
      </c>
      <c r="AG116" s="21">
        <v>1260.0229095074455</v>
      </c>
      <c r="AH116" s="21">
        <v>1260.0229095074455</v>
      </c>
      <c r="AI116" s="21"/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30">
        <v>1</v>
      </c>
      <c r="BG116" s="30">
        <v>1</v>
      </c>
      <c r="BH116" s="30">
        <v>1</v>
      </c>
      <c r="BI116" s="30">
        <v>1</v>
      </c>
      <c r="BJ116" s="30">
        <v>1</v>
      </c>
      <c r="BK116" s="30">
        <v>1</v>
      </c>
      <c r="BL116" s="30">
        <v>1</v>
      </c>
      <c r="BM116" s="30">
        <v>1</v>
      </c>
      <c r="BN116" s="30">
        <v>1</v>
      </c>
      <c r="BO116" s="30">
        <v>1</v>
      </c>
      <c r="BP116" s="30">
        <v>1</v>
      </c>
      <c r="BQ116" s="30">
        <v>1</v>
      </c>
      <c r="BR116" s="30">
        <v>1</v>
      </c>
      <c r="BS116" s="30">
        <v>1</v>
      </c>
      <c r="BT116" s="30">
        <v>1</v>
      </c>
      <c r="BU116" s="30">
        <v>1</v>
      </c>
      <c r="BV116" s="30">
        <v>1</v>
      </c>
      <c r="BW116" s="30">
        <v>1</v>
      </c>
      <c r="BX116" s="30">
        <v>1</v>
      </c>
      <c r="BY116" s="30">
        <v>1</v>
      </c>
      <c r="BZ116" s="30">
        <v>1</v>
      </c>
      <c r="CA116" s="30">
        <v>1</v>
      </c>
      <c r="CB116" s="30">
        <v>1</v>
      </c>
      <c r="CC116" s="30">
        <v>1</v>
      </c>
      <c r="CD116" s="30">
        <v>1</v>
      </c>
      <c r="CE116" s="30">
        <v>1</v>
      </c>
      <c r="CF116" s="30">
        <v>1</v>
      </c>
      <c r="CG116" s="30">
        <v>1</v>
      </c>
      <c r="CH116" s="30">
        <v>1</v>
      </c>
      <c r="CI116" s="30">
        <v>1</v>
      </c>
      <c r="CJ116" s="30">
        <v>1</v>
      </c>
      <c r="CK116" s="30">
        <v>1</v>
      </c>
      <c r="CL116" s="30">
        <v>1</v>
      </c>
      <c r="CM116" s="30">
        <v>1</v>
      </c>
      <c r="CN116" s="30">
        <v>1</v>
      </c>
      <c r="CO116" s="30">
        <v>1</v>
      </c>
      <c r="CP116" s="30">
        <v>1</v>
      </c>
      <c r="CQ116" s="30">
        <v>1</v>
      </c>
      <c r="CR116" s="30">
        <v>1</v>
      </c>
      <c r="CS116" s="30">
        <v>1</v>
      </c>
      <c r="CT116" s="30">
        <v>1</v>
      </c>
      <c r="CU116" s="30">
        <v>1</v>
      </c>
      <c r="CV116" s="30">
        <v>1</v>
      </c>
      <c r="CW116" s="30">
        <v>1</v>
      </c>
      <c r="CX116" s="30">
        <v>1</v>
      </c>
      <c r="CY116" s="30">
        <v>1</v>
      </c>
      <c r="CZ116" s="30">
        <v>1</v>
      </c>
      <c r="DA116" s="30">
        <v>1</v>
      </c>
    </row>
    <row r="117" spans="1:105" x14ac:dyDescent="0.3">
      <c r="A117" s="34" t="str">
        <f t="shared" si="3"/>
        <v>Baddi - E4Silk Plain Small Omni</v>
      </c>
      <c r="B117" s="27" t="s">
        <v>83</v>
      </c>
      <c r="C117" s="20" t="s">
        <v>7</v>
      </c>
      <c r="D117" s="19" t="s">
        <v>40</v>
      </c>
      <c r="E117" s="18" t="s">
        <v>44</v>
      </c>
      <c r="F117" s="30">
        <v>1</v>
      </c>
      <c r="G117" s="30">
        <v>2</v>
      </c>
      <c r="H117" s="30">
        <v>30</v>
      </c>
      <c r="I117" s="41"/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>
        <v>1875</v>
      </c>
      <c r="AD117" s="21">
        <v>1875</v>
      </c>
      <c r="AE117" s="21">
        <v>1875</v>
      </c>
      <c r="AF117" s="21">
        <v>1875</v>
      </c>
      <c r="AG117" s="21">
        <v>1875</v>
      </c>
      <c r="AH117" s="21">
        <v>1875</v>
      </c>
      <c r="AI117" s="21"/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30">
        <v>1</v>
      </c>
      <c r="BG117" s="30">
        <v>1</v>
      </c>
      <c r="BH117" s="30">
        <v>1</v>
      </c>
      <c r="BI117" s="30">
        <v>1</v>
      </c>
      <c r="BJ117" s="30">
        <v>1</v>
      </c>
      <c r="BK117" s="30">
        <v>1</v>
      </c>
      <c r="BL117" s="30">
        <v>1</v>
      </c>
      <c r="BM117" s="30">
        <v>1</v>
      </c>
      <c r="BN117" s="30">
        <v>1</v>
      </c>
      <c r="BO117" s="30">
        <v>1</v>
      </c>
      <c r="BP117" s="30">
        <v>1</v>
      </c>
      <c r="BQ117" s="30">
        <v>1</v>
      </c>
      <c r="BR117" s="30">
        <v>1</v>
      </c>
      <c r="BS117" s="30">
        <v>1</v>
      </c>
      <c r="BT117" s="30">
        <v>1</v>
      </c>
      <c r="BU117" s="30">
        <v>1</v>
      </c>
      <c r="BV117" s="30">
        <v>1</v>
      </c>
      <c r="BW117" s="30">
        <v>1</v>
      </c>
      <c r="BX117" s="30">
        <v>1</v>
      </c>
      <c r="BY117" s="30">
        <v>1</v>
      </c>
      <c r="BZ117" s="30">
        <v>1</v>
      </c>
      <c r="CA117" s="30">
        <v>1</v>
      </c>
      <c r="CB117" s="30">
        <v>1</v>
      </c>
      <c r="CC117" s="30">
        <v>1</v>
      </c>
      <c r="CD117" s="30">
        <v>1</v>
      </c>
      <c r="CE117" s="30">
        <v>1</v>
      </c>
      <c r="CF117" s="30">
        <v>1</v>
      </c>
      <c r="CG117" s="30">
        <v>1</v>
      </c>
      <c r="CH117" s="30">
        <v>1</v>
      </c>
      <c r="CI117" s="30">
        <v>1</v>
      </c>
      <c r="CJ117" s="30">
        <v>1</v>
      </c>
      <c r="CK117" s="30">
        <v>1</v>
      </c>
      <c r="CL117" s="30">
        <v>1</v>
      </c>
      <c r="CM117" s="30">
        <v>1</v>
      </c>
      <c r="CN117" s="30">
        <v>1</v>
      </c>
      <c r="CO117" s="30">
        <v>1</v>
      </c>
      <c r="CP117" s="30">
        <v>1</v>
      </c>
      <c r="CQ117" s="30">
        <v>1</v>
      </c>
      <c r="CR117" s="30">
        <v>1</v>
      </c>
      <c r="CS117" s="30">
        <v>1</v>
      </c>
      <c r="CT117" s="30">
        <v>1</v>
      </c>
      <c r="CU117" s="30">
        <v>1</v>
      </c>
      <c r="CV117" s="30">
        <v>1</v>
      </c>
      <c r="CW117" s="30">
        <v>1</v>
      </c>
      <c r="CX117" s="30">
        <v>1</v>
      </c>
      <c r="CY117" s="30">
        <v>1</v>
      </c>
      <c r="CZ117" s="30">
        <v>1</v>
      </c>
      <c r="DA117" s="30">
        <v>1</v>
      </c>
    </row>
    <row r="118" spans="1:105" x14ac:dyDescent="0.3">
      <c r="A118" s="34" t="str">
        <f t="shared" si="3"/>
        <v>Induri - ShellSilk Plain Small Omni</v>
      </c>
      <c r="B118" s="20" t="s">
        <v>82</v>
      </c>
      <c r="C118" s="20" t="s">
        <v>11</v>
      </c>
      <c r="D118" s="19" t="s">
        <v>40</v>
      </c>
      <c r="E118" s="18" t="s">
        <v>44</v>
      </c>
      <c r="F118" s="30">
        <v>1</v>
      </c>
      <c r="G118" s="30">
        <v>2</v>
      </c>
      <c r="H118" s="30">
        <v>30</v>
      </c>
      <c r="I118" s="41"/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>
        <v>916.66666666666663</v>
      </c>
      <c r="AD118" s="21">
        <v>916.66666666666663</v>
      </c>
      <c r="AE118" s="21">
        <v>916.66666666666663</v>
      </c>
      <c r="AF118" s="21">
        <v>916.66666666666663</v>
      </c>
      <c r="AG118" s="21">
        <v>916.66666666666663</v>
      </c>
      <c r="AH118" s="21">
        <v>916.66666666666663</v>
      </c>
      <c r="AI118" s="21"/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30">
        <v>1</v>
      </c>
      <c r="BG118" s="30">
        <v>1</v>
      </c>
      <c r="BH118" s="30">
        <v>1</v>
      </c>
      <c r="BI118" s="30">
        <v>1</v>
      </c>
      <c r="BJ118" s="30">
        <v>1</v>
      </c>
      <c r="BK118" s="30">
        <v>1</v>
      </c>
      <c r="BL118" s="30">
        <v>1</v>
      </c>
      <c r="BM118" s="30">
        <v>1</v>
      </c>
      <c r="BN118" s="30">
        <v>1</v>
      </c>
      <c r="BO118" s="30">
        <v>1</v>
      </c>
      <c r="BP118" s="30">
        <v>1</v>
      </c>
      <c r="BQ118" s="30">
        <v>1</v>
      </c>
      <c r="BR118" s="30">
        <v>1</v>
      </c>
      <c r="BS118" s="30">
        <v>1</v>
      </c>
      <c r="BT118" s="30">
        <v>1</v>
      </c>
      <c r="BU118" s="30">
        <v>1</v>
      </c>
      <c r="BV118" s="30">
        <v>1</v>
      </c>
      <c r="BW118" s="30">
        <v>1</v>
      </c>
      <c r="BX118" s="30">
        <v>1</v>
      </c>
      <c r="BY118" s="30">
        <v>1</v>
      </c>
      <c r="BZ118" s="30">
        <v>1</v>
      </c>
      <c r="CA118" s="30">
        <v>1</v>
      </c>
      <c r="CB118" s="30">
        <v>1</v>
      </c>
      <c r="CC118" s="30">
        <v>1</v>
      </c>
      <c r="CD118" s="30">
        <v>1</v>
      </c>
      <c r="CE118" s="30">
        <v>1</v>
      </c>
      <c r="CF118" s="30">
        <v>1</v>
      </c>
      <c r="CG118" s="30">
        <v>1</v>
      </c>
      <c r="CH118" s="30">
        <v>1</v>
      </c>
      <c r="CI118" s="30">
        <v>1</v>
      </c>
      <c r="CJ118" s="30">
        <v>1</v>
      </c>
      <c r="CK118" s="30">
        <v>1</v>
      </c>
      <c r="CL118" s="30">
        <v>1</v>
      </c>
      <c r="CM118" s="30">
        <v>1</v>
      </c>
      <c r="CN118" s="30">
        <v>1</v>
      </c>
      <c r="CO118" s="30">
        <v>1</v>
      </c>
      <c r="CP118" s="30">
        <v>1</v>
      </c>
      <c r="CQ118" s="30">
        <v>1</v>
      </c>
      <c r="CR118" s="30">
        <v>1</v>
      </c>
      <c r="CS118" s="30">
        <v>1</v>
      </c>
      <c r="CT118" s="30">
        <v>1</v>
      </c>
      <c r="CU118" s="30">
        <v>1</v>
      </c>
      <c r="CV118" s="30">
        <v>1</v>
      </c>
      <c r="CW118" s="30">
        <v>1</v>
      </c>
      <c r="CX118" s="30">
        <v>1</v>
      </c>
      <c r="CY118" s="30">
        <v>1</v>
      </c>
      <c r="CZ118" s="30">
        <v>1</v>
      </c>
      <c r="DA118" s="30">
        <v>1</v>
      </c>
    </row>
    <row r="119" spans="1:105" x14ac:dyDescent="0.3">
      <c r="A119" s="34" t="str">
        <f t="shared" si="3"/>
        <v>Baddi - E4Silk 250</v>
      </c>
      <c r="B119" s="27" t="s">
        <v>83</v>
      </c>
      <c r="C119" s="20" t="s">
        <v>7</v>
      </c>
      <c r="D119" s="19" t="s">
        <v>40</v>
      </c>
      <c r="E119" s="18" t="s">
        <v>54</v>
      </c>
      <c r="F119" s="30">
        <v>1</v>
      </c>
      <c r="G119" s="30">
        <v>2</v>
      </c>
      <c r="H119" s="30"/>
      <c r="I119" s="4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>
        <v>1583.3333333333333</v>
      </c>
      <c r="AD119" s="21">
        <v>1583.3333333333333</v>
      </c>
      <c r="AE119" s="21">
        <v>1583.3333333333333</v>
      </c>
      <c r="AF119" s="21">
        <v>1583.3333333333333</v>
      </c>
      <c r="AG119" s="21">
        <v>1583.3333333333333</v>
      </c>
      <c r="AH119" s="21">
        <v>1583.3333333333333</v>
      </c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30">
        <v>1</v>
      </c>
      <c r="BG119" s="30">
        <v>1</v>
      </c>
      <c r="BH119" s="30">
        <v>1</v>
      </c>
      <c r="BI119" s="30">
        <v>1</v>
      </c>
      <c r="BJ119" s="30">
        <v>1</v>
      </c>
      <c r="BK119" s="30">
        <v>1</v>
      </c>
      <c r="BL119" s="30">
        <v>1</v>
      </c>
      <c r="BM119" s="30">
        <v>1</v>
      </c>
      <c r="BN119" s="30">
        <v>1</v>
      </c>
      <c r="BO119" s="30">
        <v>1</v>
      </c>
      <c r="BP119" s="30">
        <v>1</v>
      </c>
      <c r="BQ119" s="30">
        <v>1</v>
      </c>
      <c r="BR119" s="30">
        <v>1</v>
      </c>
      <c r="BS119" s="30">
        <v>1</v>
      </c>
      <c r="BT119" s="30">
        <v>1</v>
      </c>
      <c r="BU119" s="30">
        <v>1</v>
      </c>
      <c r="BV119" s="30">
        <v>1</v>
      </c>
      <c r="BW119" s="30">
        <v>1</v>
      </c>
      <c r="BX119" s="30">
        <v>1</v>
      </c>
      <c r="BY119" s="30">
        <v>1</v>
      </c>
      <c r="BZ119" s="30">
        <v>1</v>
      </c>
      <c r="CA119" s="30">
        <v>1</v>
      </c>
      <c r="CB119" s="30">
        <v>1</v>
      </c>
      <c r="CC119" s="30">
        <v>1</v>
      </c>
      <c r="CD119" s="30">
        <v>1</v>
      </c>
      <c r="CE119" s="30">
        <v>1</v>
      </c>
      <c r="CF119" s="30">
        <v>1</v>
      </c>
      <c r="CG119" s="30">
        <v>1</v>
      </c>
      <c r="CH119" s="30">
        <v>1</v>
      </c>
      <c r="CI119" s="30">
        <v>1</v>
      </c>
      <c r="CJ119" s="30">
        <v>1</v>
      </c>
      <c r="CK119" s="30">
        <v>1</v>
      </c>
      <c r="CL119" s="30">
        <v>1</v>
      </c>
      <c r="CM119" s="30">
        <v>1</v>
      </c>
      <c r="CN119" s="30">
        <v>1</v>
      </c>
      <c r="CO119" s="30">
        <v>1</v>
      </c>
      <c r="CP119" s="30">
        <v>1</v>
      </c>
      <c r="CQ119" s="30">
        <v>1</v>
      </c>
      <c r="CR119" s="30">
        <v>1</v>
      </c>
      <c r="CS119" s="30">
        <v>1</v>
      </c>
      <c r="CT119" s="30">
        <v>1</v>
      </c>
      <c r="CU119" s="30">
        <v>1</v>
      </c>
      <c r="CV119" s="30">
        <v>1</v>
      </c>
      <c r="CW119" s="30">
        <v>1</v>
      </c>
      <c r="CX119" s="30">
        <v>1</v>
      </c>
      <c r="CY119" s="30">
        <v>1</v>
      </c>
      <c r="CZ119" s="30">
        <v>1</v>
      </c>
      <c r="DA119" s="30">
        <v>1</v>
      </c>
    </row>
    <row r="120" spans="1:105" x14ac:dyDescent="0.3">
      <c r="A120" s="34" t="str">
        <f t="shared" si="3"/>
        <v>Baddi - E4Silk Plain XXL</v>
      </c>
      <c r="B120" s="27" t="s">
        <v>83</v>
      </c>
      <c r="C120" s="20" t="s">
        <v>7</v>
      </c>
      <c r="D120" s="19" t="s">
        <v>40</v>
      </c>
      <c r="E120" s="18" t="s">
        <v>47</v>
      </c>
      <c r="F120" s="30">
        <v>1</v>
      </c>
      <c r="G120" s="30">
        <v>5</v>
      </c>
      <c r="H120" s="30">
        <v>30</v>
      </c>
      <c r="I120" s="41"/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>
        <v>1333.3333333333333</v>
      </c>
      <c r="AD120" s="21">
        <v>1333.3333333333333</v>
      </c>
      <c r="AE120" s="21">
        <v>1333.3333333333333</v>
      </c>
      <c r="AF120" s="21">
        <v>1333.3333333333333</v>
      </c>
      <c r="AG120" s="21">
        <v>1333.3333333333333</v>
      </c>
      <c r="AH120" s="21">
        <v>1333.3333333333333</v>
      </c>
      <c r="AI120" s="21"/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30">
        <v>1</v>
      </c>
      <c r="BG120" s="30">
        <v>1</v>
      </c>
      <c r="BH120" s="30">
        <v>1</v>
      </c>
      <c r="BI120" s="30">
        <v>1</v>
      </c>
      <c r="BJ120" s="30">
        <v>1</v>
      </c>
      <c r="BK120" s="30">
        <v>1</v>
      </c>
      <c r="BL120" s="30">
        <v>1</v>
      </c>
      <c r="BM120" s="30">
        <v>1</v>
      </c>
      <c r="BN120" s="30">
        <v>1</v>
      </c>
      <c r="BO120" s="30">
        <v>1</v>
      </c>
      <c r="BP120" s="30">
        <v>1</v>
      </c>
      <c r="BQ120" s="30">
        <v>1</v>
      </c>
      <c r="BR120" s="30">
        <v>1</v>
      </c>
      <c r="BS120" s="30">
        <v>1</v>
      </c>
      <c r="BT120" s="30">
        <v>1</v>
      </c>
      <c r="BU120" s="30">
        <v>1</v>
      </c>
      <c r="BV120" s="30">
        <v>1</v>
      </c>
      <c r="BW120" s="30">
        <v>1</v>
      </c>
      <c r="BX120" s="30">
        <v>1</v>
      </c>
      <c r="BY120" s="30">
        <v>1</v>
      </c>
      <c r="BZ120" s="30">
        <v>1</v>
      </c>
      <c r="CA120" s="30">
        <v>1</v>
      </c>
      <c r="CB120" s="30">
        <v>1</v>
      </c>
      <c r="CC120" s="30">
        <v>1</v>
      </c>
      <c r="CD120" s="30">
        <v>1</v>
      </c>
      <c r="CE120" s="30">
        <v>1</v>
      </c>
      <c r="CF120" s="30">
        <v>1</v>
      </c>
      <c r="CG120" s="30">
        <v>1</v>
      </c>
      <c r="CH120" s="30">
        <v>1</v>
      </c>
      <c r="CI120" s="30">
        <v>1</v>
      </c>
      <c r="CJ120" s="30">
        <v>1</v>
      </c>
      <c r="CK120" s="30">
        <v>1</v>
      </c>
      <c r="CL120" s="30">
        <v>1</v>
      </c>
      <c r="CM120" s="30">
        <v>1</v>
      </c>
      <c r="CN120" s="30">
        <v>1</v>
      </c>
      <c r="CO120" s="30">
        <v>1</v>
      </c>
      <c r="CP120" s="30">
        <v>1</v>
      </c>
      <c r="CQ120" s="30">
        <v>1</v>
      </c>
      <c r="CR120" s="30">
        <v>1</v>
      </c>
      <c r="CS120" s="30">
        <v>1</v>
      </c>
      <c r="CT120" s="30">
        <v>1</v>
      </c>
      <c r="CU120" s="30">
        <v>1</v>
      </c>
      <c r="CV120" s="30">
        <v>1</v>
      </c>
      <c r="CW120" s="30">
        <v>1</v>
      </c>
      <c r="CX120" s="30">
        <v>1</v>
      </c>
      <c r="CY120" s="30">
        <v>1</v>
      </c>
      <c r="CZ120" s="30">
        <v>1</v>
      </c>
      <c r="DA120" s="30">
        <v>1</v>
      </c>
    </row>
    <row r="121" spans="1:105" x14ac:dyDescent="0.3">
      <c r="A121" s="34" t="str">
        <f t="shared" si="3"/>
        <v>Sricity - ULSilk Plum Cake Small</v>
      </c>
      <c r="B121" s="20" t="s">
        <v>81</v>
      </c>
      <c r="C121" s="20" t="s">
        <v>18</v>
      </c>
      <c r="D121" s="19" t="s">
        <v>40</v>
      </c>
      <c r="E121" s="18" t="s">
        <v>70</v>
      </c>
      <c r="F121" s="30">
        <v>4</v>
      </c>
      <c r="G121" s="30">
        <v>3</v>
      </c>
      <c r="H121" s="30">
        <v>30</v>
      </c>
      <c r="I121" s="41"/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>
        <v>833.33333333333337</v>
      </c>
      <c r="AD121" s="21">
        <v>833.33333333333337</v>
      </c>
      <c r="AE121" s="21">
        <v>833.33333333333337</v>
      </c>
      <c r="AF121" s="21">
        <v>833.33333333333337</v>
      </c>
      <c r="AG121" s="21">
        <v>833.33333333333337</v>
      </c>
      <c r="AH121" s="21">
        <v>833.33333333333337</v>
      </c>
      <c r="AI121" s="21"/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30">
        <v>1</v>
      </c>
      <c r="BG121" s="30">
        <v>1</v>
      </c>
      <c r="BH121" s="30">
        <v>1</v>
      </c>
      <c r="BI121" s="30">
        <v>1</v>
      </c>
      <c r="BJ121" s="30">
        <v>1</v>
      </c>
      <c r="BK121" s="30">
        <v>1</v>
      </c>
      <c r="BL121" s="30">
        <v>1</v>
      </c>
      <c r="BM121" s="30">
        <v>1</v>
      </c>
      <c r="BN121" s="30">
        <v>1</v>
      </c>
      <c r="BO121" s="30">
        <v>1</v>
      </c>
      <c r="BP121" s="30">
        <v>1</v>
      </c>
      <c r="BQ121" s="30">
        <v>1</v>
      </c>
      <c r="BR121" s="30">
        <v>1</v>
      </c>
      <c r="BS121" s="30">
        <v>1</v>
      </c>
      <c r="BT121" s="30">
        <v>1</v>
      </c>
      <c r="BU121" s="30">
        <v>1</v>
      </c>
      <c r="BV121" s="30">
        <v>1</v>
      </c>
      <c r="BW121" s="30">
        <v>1</v>
      </c>
      <c r="BX121" s="30">
        <v>1</v>
      </c>
      <c r="BY121" s="30">
        <v>1</v>
      </c>
      <c r="BZ121" s="30">
        <v>1</v>
      </c>
      <c r="CA121" s="30">
        <v>1</v>
      </c>
      <c r="CB121" s="30">
        <v>1</v>
      </c>
      <c r="CC121" s="30">
        <v>1</v>
      </c>
      <c r="CD121" s="30">
        <v>1</v>
      </c>
      <c r="CE121" s="30">
        <v>1</v>
      </c>
      <c r="CF121" s="30">
        <v>1</v>
      </c>
      <c r="CG121" s="30">
        <v>1</v>
      </c>
      <c r="CH121" s="30">
        <v>1</v>
      </c>
      <c r="CI121" s="30">
        <v>1</v>
      </c>
      <c r="CJ121" s="30">
        <v>1</v>
      </c>
      <c r="CK121" s="30">
        <v>1</v>
      </c>
      <c r="CL121" s="30">
        <v>1</v>
      </c>
      <c r="CM121" s="30">
        <v>1</v>
      </c>
      <c r="CN121" s="30">
        <v>1</v>
      </c>
      <c r="CO121" s="30">
        <v>1</v>
      </c>
      <c r="CP121" s="30">
        <v>1</v>
      </c>
      <c r="CQ121" s="30">
        <v>1</v>
      </c>
      <c r="CR121" s="30">
        <v>1</v>
      </c>
      <c r="CS121" s="30">
        <v>1</v>
      </c>
      <c r="CT121" s="30">
        <v>1</v>
      </c>
      <c r="CU121" s="30">
        <v>1</v>
      </c>
      <c r="CV121" s="30">
        <v>1</v>
      </c>
      <c r="CW121" s="30">
        <v>1</v>
      </c>
      <c r="CX121" s="30">
        <v>1</v>
      </c>
      <c r="CY121" s="30">
        <v>1</v>
      </c>
      <c r="CZ121" s="30">
        <v>1</v>
      </c>
      <c r="DA121" s="30">
        <v>1</v>
      </c>
    </row>
    <row r="122" spans="1:105" x14ac:dyDescent="0.3">
      <c r="A122" s="34" t="str">
        <f t="shared" si="3"/>
        <v>Baddi - E4Silk RA Large</v>
      </c>
      <c r="B122" s="27" t="s">
        <v>83</v>
      </c>
      <c r="C122" s="20" t="s">
        <v>7</v>
      </c>
      <c r="D122" s="19" t="s">
        <v>40</v>
      </c>
      <c r="E122" s="18" t="s">
        <v>51</v>
      </c>
      <c r="F122" s="30">
        <v>3</v>
      </c>
      <c r="G122" s="30">
        <v>5</v>
      </c>
      <c r="H122" s="30">
        <v>30</v>
      </c>
      <c r="I122" s="41"/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>
        <v>1600.815850815851</v>
      </c>
      <c r="AD122" s="21">
        <v>1600.815850815851</v>
      </c>
      <c r="AE122" s="21">
        <v>1600.815850815851</v>
      </c>
      <c r="AF122" s="21">
        <v>1600.815850815851</v>
      </c>
      <c r="AG122" s="21">
        <v>1600.815850815851</v>
      </c>
      <c r="AH122" s="21">
        <v>1600.815850815851</v>
      </c>
      <c r="AI122" s="21"/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30">
        <v>1</v>
      </c>
      <c r="BG122" s="30">
        <v>1</v>
      </c>
      <c r="BH122" s="30">
        <v>1</v>
      </c>
      <c r="BI122" s="30">
        <v>1</v>
      </c>
      <c r="BJ122" s="30">
        <v>1</v>
      </c>
      <c r="BK122" s="30">
        <v>1</v>
      </c>
      <c r="BL122" s="30">
        <v>1</v>
      </c>
      <c r="BM122" s="30">
        <v>1</v>
      </c>
      <c r="BN122" s="30">
        <v>1</v>
      </c>
      <c r="BO122" s="30">
        <v>1</v>
      </c>
      <c r="BP122" s="30">
        <v>1</v>
      </c>
      <c r="BQ122" s="30">
        <v>1</v>
      </c>
      <c r="BR122" s="30">
        <v>1</v>
      </c>
      <c r="BS122" s="30">
        <v>1</v>
      </c>
      <c r="BT122" s="30">
        <v>1</v>
      </c>
      <c r="BU122" s="30">
        <v>1</v>
      </c>
      <c r="BV122" s="30">
        <v>1</v>
      </c>
      <c r="BW122" s="30">
        <v>1</v>
      </c>
      <c r="BX122" s="30">
        <v>1</v>
      </c>
      <c r="BY122" s="30">
        <v>1</v>
      </c>
      <c r="BZ122" s="30">
        <v>1</v>
      </c>
      <c r="CA122" s="30">
        <v>1</v>
      </c>
      <c r="CB122" s="30">
        <v>1</v>
      </c>
      <c r="CC122" s="30">
        <v>1</v>
      </c>
      <c r="CD122" s="30">
        <v>1</v>
      </c>
      <c r="CE122" s="30">
        <v>1</v>
      </c>
      <c r="CF122" s="30">
        <v>1</v>
      </c>
      <c r="CG122" s="30">
        <v>1</v>
      </c>
      <c r="CH122" s="30">
        <v>1</v>
      </c>
      <c r="CI122" s="30">
        <v>1</v>
      </c>
      <c r="CJ122" s="30">
        <v>1</v>
      </c>
      <c r="CK122" s="30">
        <v>1</v>
      </c>
      <c r="CL122" s="30">
        <v>1</v>
      </c>
      <c r="CM122" s="30">
        <v>1</v>
      </c>
      <c r="CN122" s="30">
        <v>1</v>
      </c>
      <c r="CO122" s="30">
        <v>1</v>
      </c>
      <c r="CP122" s="30">
        <v>1</v>
      </c>
      <c r="CQ122" s="30">
        <v>1</v>
      </c>
      <c r="CR122" s="30">
        <v>1</v>
      </c>
      <c r="CS122" s="30">
        <v>1</v>
      </c>
      <c r="CT122" s="30">
        <v>1</v>
      </c>
      <c r="CU122" s="30">
        <v>1</v>
      </c>
      <c r="CV122" s="30">
        <v>1</v>
      </c>
      <c r="CW122" s="30">
        <v>1</v>
      </c>
      <c r="CX122" s="30">
        <v>1</v>
      </c>
      <c r="CY122" s="30">
        <v>1</v>
      </c>
      <c r="CZ122" s="30">
        <v>1</v>
      </c>
      <c r="DA122" s="30">
        <v>1</v>
      </c>
    </row>
    <row r="123" spans="1:105" x14ac:dyDescent="0.3">
      <c r="A123" s="34" t="str">
        <f t="shared" si="3"/>
        <v>Baddi - E4Silk RA Small</v>
      </c>
      <c r="B123" s="27" t="s">
        <v>83</v>
      </c>
      <c r="C123" s="30" t="s">
        <v>7</v>
      </c>
      <c r="D123" s="19" t="s">
        <v>40</v>
      </c>
      <c r="E123" s="18" t="s">
        <v>50</v>
      </c>
      <c r="F123" s="30">
        <v>2</v>
      </c>
      <c r="G123" s="30">
        <v>5</v>
      </c>
      <c r="H123" s="30">
        <v>30</v>
      </c>
      <c r="I123" s="41"/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>
        <v>1606.3218390804595</v>
      </c>
      <c r="AD123" s="21">
        <v>1606.3218390804595</v>
      </c>
      <c r="AE123" s="21">
        <v>1606.3218390804595</v>
      </c>
      <c r="AF123" s="21">
        <v>1606.3218390804595</v>
      </c>
      <c r="AG123" s="21">
        <v>1606.3218390804595</v>
      </c>
      <c r="AH123" s="21">
        <v>1606.3218390804595</v>
      </c>
      <c r="AI123" s="21"/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30">
        <v>1</v>
      </c>
      <c r="BG123" s="30">
        <v>1</v>
      </c>
      <c r="BH123" s="30">
        <v>1</v>
      </c>
      <c r="BI123" s="30">
        <v>1</v>
      </c>
      <c r="BJ123" s="30">
        <v>1</v>
      </c>
      <c r="BK123" s="30">
        <v>1</v>
      </c>
      <c r="BL123" s="30">
        <v>1</v>
      </c>
      <c r="BM123" s="30">
        <v>1</v>
      </c>
      <c r="BN123" s="30">
        <v>1</v>
      </c>
      <c r="BO123" s="30">
        <v>1</v>
      </c>
      <c r="BP123" s="30">
        <v>1</v>
      </c>
      <c r="BQ123" s="30">
        <v>1</v>
      </c>
      <c r="BR123" s="30">
        <v>1</v>
      </c>
      <c r="BS123" s="30">
        <v>1</v>
      </c>
      <c r="BT123" s="30">
        <v>1</v>
      </c>
      <c r="BU123" s="30">
        <v>1</v>
      </c>
      <c r="BV123" s="30">
        <v>1</v>
      </c>
      <c r="BW123" s="30">
        <v>1</v>
      </c>
      <c r="BX123" s="30">
        <v>1</v>
      </c>
      <c r="BY123" s="30">
        <v>1</v>
      </c>
      <c r="BZ123" s="30">
        <v>1</v>
      </c>
      <c r="CA123" s="30">
        <v>1</v>
      </c>
      <c r="CB123" s="30">
        <v>1</v>
      </c>
      <c r="CC123" s="30">
        <v>1</v>
      </c>
      <c r="CD123" s="30">
        <v>1</v>
      </c>
      <c r="CE123" s="30">
        <v>1</v>
      </c>
      <c r="CF123" s="30">
        <v>1</v>
      </c>
      <c r="CG123" s="30">
        <v>1</v>
      </c>
      <c r="CH123" s="30">
        <v>1</v>
      </c>
      <c r="CI123" s="30">
        <v>1</v>
      </c>
      <c r="CJ123" s="30">
        <v>1</v>
      </c>
      <c r="CK123" s="30">
        <v>1</v>
      </c>
      <c r="CL123" s="30">
        <v>1</v>
      </c>
      <c r="CM123" s="30">
        <v>1</v>
      </c>
      <c r="CN123" s="30">
        <v>1</v>
      </c>
      <c r="CO123" s="30">
        <v>1</v>
      </c>
      <c r="CP123" s="30">
        <v>1</v>
      </c>
      <c r="CQ123" s="30">
        <v>1</v>
      </c>
      <c r="CR123" s="30">
        <v>1</v>
      </c>
      <c r="CS123" s="30">
        <v>1</v>
      </c>
      <c r="CT123" s="30">
        <v>1</v>
      </c>
      <c r="CU123" s="30">
        <v>1</v>
      </c>
      <c r="CV123" s="30">
        <v>1</v>
      </c>
      <c r="CW123" s="30">
        <v>1</v>
      </c>
      <c r="CX123" s="30">
        <v>1</v>
      </c>
      <c r="CY123" s="30">
        <v>1</v>
      </c>
      <c r="CZ123" s="30">
        <v>1</v>
      </c>
      <c r="DA123" s="30">
        <v>1</v>
      </c>
    </row>
    <row r="124" spans="1:105" x14ac:dyDescent="0.3">
      <c r="A124" s="34" t="str">
        <f t="shared" si="3"/>
        <v>Sricity - NMLSilk RA Small</v>
      </c>
      <c r="B124" s="27" t="s">
        <v>81</v>
      </c>
      <c r="C124" s="20" t="s">
        <v>17</v>
      </c>
      <c r="D124" s="19" t="s">
        <v>40</v>
      </c>
      <c r="E124" s="18" t="s">
        <v>50</v>
      </c>
      <c r="F124" s="30">
        <v>3</v>
      </c>
      <c r="G124" s="30">
        <v>2</v>
      </c>
      <c r="H124" s="30"/>
      <c r="I124" s="4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>
        <v>1050</v>
      </c>
      <c r="AF124" s="21">
        <v>1050</v>
      </c>
      <c r="AG124" s="21">
        <v>1050</v>
      </c>
      <c r="AH124" s="21">
        <v>1050</v>
      </c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30">
        <v>1</v>
      </c>
      <c r="BG124" s="30">
        <v>1</v>
      </c>
      <c r="BH124" s="30">
        <v>1</v>
      </c>
      <c r="BI124" s="30">
        <v>1</v>
      </c>
      <c r="BJ124" s="30">
        <v>1</v>
      </c>
      <c r="BK124" s="30">
        <v>1</v>
      </c>
      <c r="BL124" s="30">
        <v>1</v>
      </c>
      <c r="BM124" s="30">
        <v>1</v>
      </c>
      <c r="BN124" s="30">
        <v>1</v>
      </c>
      <c r="BO124" s="30">
        <v>1</v>
      </c>
      <c r="BP124" s="30">
        <v>1</v>
      </c>
      <c r="BQ124" s="30">
        <v>1</v>
      </c>
      <c r="BR124" s="30">
        <v>1</v>
      </c>
      <c r="BS124" s="30">
        <v>1</v>
      </c>
      <c r="BT124" s="30">
        <v>1</v>
      </c>
      <c r="BU124" s="30">
        <v>1</v>
      </c>
      <c r="BV124" s="30">
        <v>1</v>
      </c>
      <c r="BW124" s="30">
        <v>1</v>
      </c>
      <c r="BX124" s="30">
        <v>1</v>
      </c>
      <c r="BY124" s="30">
        <v>1</v>
      </c>
      <c r="BZ124" s="30">
        <v>1</v>
      </c>
      <c r="CA124" s="30">
        <v>1</v>
      </c>
      <c r="CB124" s="30">
        <v>1</v>
      </c>
      <c r="CC124" s="30">
        <v>1</v>
      </c>
      <c r="CD124" s="30">
        <v>1</v>
      </c>
      <c r="CE124" s="30">
        <v>1</v>
      </c>
      <c r="CF124" s="30">
        <v>1</v>
      </c>
      <c r="CG124" s="30">
        <v>1</v>
      </c>
      <c r="CH124" s="30">
        <v>1</v>
      </c>
      <c r="CI124" s="30">
        <v>1</v>
      </c>
      <c r="CJ124" s="30">
        <v>1</v>
      </c>
      <c r="CK124" s="30">
        <v>1</v>
      </c>
      <c r="CL124" s="30">
        <v>1</v>
      </c>
      <c r="CM124" s="30">
        <v>1</v>
      </c>
      <c r="CN124" s="30">
        <v>1</v>
      </c>
      <c r="CO124" s="30">
        <v>1</v>
      </c>
      <c r="CP124" s="30">
        <v>1</v>
      </c>
      <c r="CQ124" s="30">
        <v>1</v>
      </c>
      <c r="CR124" s="30">
        <v>1</v>
      </c>
      <c r="CS124" s="30">
        <v>1</v>
      </c>
      <c r="CT124" s="30">
        <v>1</v>
      </c>
      <c r="CU124" s="30">
        <v>1</v>
      </c>
      <c r="CV124" s="30">
        <v>1</v>
      </c>
      <c r="CW124" s="30">
        <v>1</v>
      </c>
      <c r="CX124" s="30">
        <v>1</v>
      </c>
      <c r="CY124" s="30">
        <v>1</v>
      </c>
      <c r="CZ124" s="30">
        <v>1</v>
      </c>
      <c r="DA124" s="30">
        <v>1</v>
      </c>
    </row>
    <row r="125" spans="1:105" x14ac:dyDescent="0.3">
      <c r="A125" s="34" t="str">
        <f t="shared" si="3"/>
        <v>Baddi - E4Silk RA Small NEPAL</v>
      </c>
      <c r="B125" s="27" t="s">
        <v>83</v>
      </c>
      <c r="C125" s="30" t="s">
        <v>7</v>
      </c>
      <c r="D125" s="19" t="s">
        <v>40</v>
      </c>
      <c r="E125" s="18" t="s">
        <v>243</v>
      </c>
      <c r="F125" s="30">
        <v>2</v>
      </c>
      <c r="G125" s="30">
        <v>1</v>
      </c>
      <c r="H125" s="30">
        <v>30</v>
      </c>
      <c r="I125" s="41"/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>
        <v>1606.3218390804595</v>
      </c>
      <c r="AD125" s="21">
        <v>1606.3218390804595</v>
      </c>
      <c r="AE125" s="21">
        <v>1606.3218390804595</v>
      </c>
      <c r="AF125" s="21">
        <v>1606.3218390804595</v>
      </c>
      <c r="AG125" s="21">
        <v>1606.3218390804595</v>
      </c>
      <c r="AH125" s="21">
        <v>1606.3218390804595</v>
      </c>
      <c r="AI125" s="21"/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30">
        <v>1</v>
      </c>
      <c r="BG125" s="30">
        <v>1</v>
      </c>
      <c r="BH125" s="30">
        <v>1</v>
      </c>
      <c r="BI125" s="30">
        <v>1</v>
      </c>
      <c r="BJ125" s="30">
        <v>1</v>
      </c>
      <c r="BK125" s="30">
        <v>1</v>
      </c>
      <c r="BL125" s="30">
        <v>1</v>
      </c>
      <c r="BM125" s="30">
        <v>1</v>
      </c>
      <c r="BN125" s="30">
        <v>1</v>
      </c>
      <c r="BO125" s="30">
        <v>1</v>
      </c>
      <c r="BP125" s="30">
        <v>1</v>
      </c>
      <c r="BQ125" s="30">
        <v>1</v>
      </c>
      <c r="BR125" s="30">
        <v>1</v>
      </c>
      <c r="BS125" s="30">
        <v>1</v>
      </c>
      <c r="BT125" s="30">
        <v>1</v>
      </c>
      <c r="BU125" s="30">
        <v>1</v>
      </c>
      <c r="BV125" s="30">
        <v>1</v>
      </c>
      <c r="BW125" s="30">
        <v>1</v>
      </c>
      <c r="BX125" s="30">
        <v>1</v>
      </c>
      <c r="BY125" s="30">
        <v>1</v>
      </c>
      <c r="BZ125" s="30">
        <v>1</v>
      </c>
      <c r="CA125" s="30">
        <v>1</v>
      </c>
      <c r="CB125" s="30">
        <v>1</v>
      </c>
      <c r="CC125" s="30">
        <v>1</v>
      </c>
      <c r="CD125" s="30">
        <v>1</v>
      </c>
      <c r="CE125" s="30">
        <v>1</v>
      </c>
      <c r="CF125" s="30">
        <v>1</v>
      </c>
      <c r="CG125" s="30">
        <v>1</v>
      </c>
      <c r="CH125" s="30">
        <v>1</v>
      </c>
      <c r="CI125" s="30">
        <v>1</v>
      </c>
      <c r="CJ125" s="30">
        <v>1</v>
      </c>
      <c r="CK125" s="30">
        <v>1</v>
      </c>
      <c r="CL125" s="30">
        <v>1</v>
      </c>
      <c r="CM125" s="30">
        <v>1</v>
      </c>
      <c r="CN125" s="30">
        <v>1</v>
      </c>
      <c r="CO125" s="30">
        <v>1</v>
      </c>
      <c r="CP125" s="30">
        <v>1</v>
      </c>
      <c r="CQ125" s="30">
        <v>1</v>
      </c>
      <c r="CR125" s="30">
        <v>1</v>
      </c>
      <c r="CS125" s="30">
        <v>1</v>
      </c>
      <c r="CT125" s="30">
        <v>1</v>
      </c>
      <c r="CU125" s="30">
        <v>1</v>
      </c>
      <c r="CV125" s="30">
        <v>1</v>
      </c>
      <c r="CW125" s="30">
        <v>1</v>
      </c>
      <c r="CX125" s="30">
        <v>1</v>
      </c>
      <c r="CY125" s="30">
        <v>1</v>
      </c>
      <c r="CZ125" s="30">
        <v>1</v>
      </c>
      <c r="DA125" s="30">
        <v>1</v>
      </c>
    </row>
    <row r="126" spans="1:105" x14ac:dyDescent="0.3">
      <c r="A126" s="34" t="str">
        <f t="shared" si="3"/>
        <v>Sricity - ULSilk Walnut Brownie Large</v>
      </c>
      <c r="B126" s="20" t="s">
        <v>81</v>
      </c>
      <c r="C126" s="30" t="s">
        <v>18</v>
      </c>
      <c r="D126" s="19" t="s">
        <v>40</v>
      </c>
      <c r="E126" s="18" t="s">
        <v>69</v>
      </c>
      <c r="F126" s="30">
        <v>6</v>
      </c>
      <c r="G126" s="30">
        <v>3</v>
      </c>
      <c r="H126" s="30">
        <v>30</v>
      </c>
      <c r="I126" s="41"/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>
        <v>833.33333333333337</v>
      </c>
      <c r="AD126" s="21">
        <v>833.33333333333337</v>
      </c>
      <c r="AE126" s="21">
        <v>833.33333333333337</v>
      </c>
      <c r="AF126" s="21">
        <v>833.33333333333337</v>
      </c>
      <c r="AG126" s="21">
        <v>833.33333333333337</v>
      </c>
      <c r="AH126" s="21">
        <v>833.33333333333337</v>
      </c>
      <c r="AI126" s="21"/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30">
        <v>1</v>
      </c>
      <c r="BG126" s="30">
        <v>1</v>
      </c>
      <c r="BH126" s="30">
        <v>1</v>
      </c>
      <c r="BI126" s="30">
        <v>1</v>
      </c>
      <c r="BJ126" s="30">
        <v>1</v>
      </c>
      <c r="BK126" s="30">
        <v>1</v>
      </c>
      <c r="BL126" s="30">
        <v>1</v>
      </c>
      <c r="BM126" s="30">
        <v>1</v>
      </c>
      <c r="BN126" s="30">
        <v>1</v>
      </c>
      <c r="BO126" s="30">
        <v>1</v>
      </c>
      <c r="BP126" s="30">
        <v>1</v>
      </c>
      <c r="BQ126" s="30">
        <v>1</v>
      </c>
      <c r="BR126" s="30">
        <v>1</v>
      </c>
      <c r="BS126" s="30">
        <v>1</v>
      </c>
      <c r="BT126" s="30">
        <v>1</v>
      </c>
      <c r="BU126" s="30">
        <v>1</v>
      </c>
      <c r="BV126" s="30">
        <v>1</v>
      </c>
      <c r="BW126" s="30">
        <v>1</v>
      </c>
      <c r="BX126" s="30">
        <v>1</v>
      </c>
      <c r="BY126" s="30">
        <v>1</v>
      </c>
      <c r="BZ126" s="30">
        <v>1</v>
      </c>
      <c r="CA126" s="30">
        <v>1</v>
      </c>
      <c r="CB126" s="30">
        <v>1</v>
      </c>
      <c r="CC126" s="30">
        <v>1</v>
      </c>
      <c r="CD126" s="30">
        <v>1</v>
      </c>
      <c r="CE126" s="30">
        <v>1</v>
      </c>
      <c r="CF126" s="30">
        <v>1</v>
      </c>
      <c r="CG126" s="30">
        <v>1</v>
      </c>
      <c r="CH126" s="30">
        <v>1</v>
      </c>
      <c r="CI126" s="30">
        <v>1</v>
      </c>
      <c r="CJ126" s="30">
        <v>1</v>
      </c>
      <c r="CK126" s="30">
        <v>1</v>
      </c>
      <c r="CL126" s="30">
        <v>1</v>
      </c>
      <c r="CM126" s="30">
        <v>1</v>
      </c>
      <c r="CN126" s="30">
        <v>1</v>
      </c>
      <c r="CO126" s="30">
        <v>1</v>
      </c>
      <c r="CP126" s="30">
        <v>1</v>
      </c>
      <c r="CQ126" s="30">
        <v>1</v>
      </c>
      <c r="CR126" s="30">
        <v>1</v>
      </c>
      <c r="CS126" s="30">
        <v>1</v>
      </c>
      <c r="CT126" s="30">
        <v>1</v>
      </c>
      <c r="CU126" s="30">
        <v>1</v>
      </c>
      <c r="CV126" s="30">
        <v>1</v>
      </c>
      <c r="CW126" s="30">
        <v>1</v>
      </c>
      <c r="CX126" s="30">
        <v>1</v>
      </c>
      <c r="CY126" s="30">
        <v>1</v>
      </c>
      <c r="CZ126" s="30">
        <v>1</v>
      </c>
      <c r="DA126" s="30">
        <v>1</v>
      </c>
    </row>
    <row r="127" spans="1:105" x14ac:dyDescent="0.3">
      <c r="A127" s="34" t="str">
        <f t="shared" si="3"/>
        <v>Sricity - ULSilk Walnut Brownie Small</v>
      </c>
      <c r="B127" s="20" t="s">
        <v>81</v>
      </c>
      <c r="C127" s="30" t="s">
        <v>18</v>
      </c>
      <c r="D127" s="19" t="s">
        <v>40</v>
      </c>
      <c r="E127" s="18" t="s">
        <v>68</v>
      </c>
      <c r="F127" s="30">
        <v>5</v>
      </c>
      <c r="G127" s="30">
        <v>3</v>
      </c>
      <c r="H127" s="30">
        <v>30</v>
      </c>
      <c r="I127" s="41"/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>
        <v>833.33333333333337</v>
      </c>
      <c r="AD127" s="21">
        <v>833.33333333333337</v>
      </c>
      <c r="AE127" s="21">
        <v>833.33333333333337</v>
      </c>
      <c r="AF127" s="21">
        <v>833.33333333333337</v>
      </c>
      <c r="AG127" s="21">
        <v>833.33333333333337</v>
      </c>
      <c r="AH127" s="21">
        <v>833.33333333333337</v>
      </c>
      <c r="AI127" s="21"/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30">
        <v>1</v>
      </c>
      <c r="BG127" s="30">
        <v>1</v>
      </c>
      <c r="BH127" s="30">
        <v>1</v>
      </c>
      <c r="BI127" s="30">
        <v>1</v>
      </c>
      <c r="BJ127" s="30">
        <v>1</v>
      </c>
      <c r="BK127" s="30">
        <v>1</v>
      </c>
      <c r="BL127" s="30">
        <v>1</v>
      </c>
      <c r="BM127" s="30">
        <v>1</v>
      </c>
      <c r="BN127" s="30">
        <v>1</v>
      </c>
      <c r="BO127" s="30">
        <v>1</v>
      </c>
      <c r="BP127" s="30">
        <v>1</v>
      </c>
      <c r="BQ127" s="30">
        <v>1</v>
      </c>
      <c r="BR127" s="30">
        <v>1</v>
      </c>
      <c r="BS127" s="30">
        <v>1</v>
      </c>
      <c r="BT127" s="30">
        <v>1</v>
      </c>
      <c r="BU127" s="30">
        <v>1</v>
      </c>
      <c r="BV127" s="30">
        <v>1</v>
      </c>
      <c r="BW127" s="30">
        <v>1</v>
      </c>
      <c r="BX127" s="30">
        <v>1</v>
      </c>
      <c r="BY127" s="30">
        <v>1</v>
      </c>
      <c r="BZ127" s="30">
        <v>1</v>
      </c>
      <c r="CA127" s="30">
        <v>1</v>
      </c>
      <c r="CB127" s="30">
        <v>1</v>
      </c>
      <c r="CC127" s="30">
        <v>1</v>
      </c>
      <c r="CD127" s="30">
        <v>1</v>
      </c>
      <c r="CE127" s="30">
        <v>1</v>
      </c>
      <c r="CF127" s="30">
        <v>1</v>
      </c>
      <c r="CG127" s="30">
        <v>1</v>
      </c>
      <c r="CH127" s="30">
        <v>1</v>
      </c>
      <c r="CI127" s="30">
        <v>1</v>
      </c>
      <c r="CJ127" s="30">
        <v>1</v>
      </c>
      <c r="CK127" s="30">
        <v>1</v>
      </c>
      <c r="CL127" s="30">
        <v>1</v>
      </c>
      <c r="CM127" s="30">
        <v>1</v>
      </c>
      <c r="CN127" s="30">
        <v>1</v>
      </c>
      <c r="CO127" s="30">
        <v>1</v>
      </c>
      <c r="CP127" s="30">
        <v>1</v>
      </c>
      <c r="CQ127" s="30">
        <v>1</v>
      </c>
      <c r="CR127" s="30">
        <v>1</v>
      </c>
      <c r="CS127" s="30">
        <v>1</v>
      </c>
      <c r="CT127" s="30">
        <v>1</v>
      </c>
      <c r="CU127" s="30">
        <v>1</v>
      </c>
      <c r="CV127" s="30">
        <v>1</v>
      </c>
      <c r="CW127" s="30">
        <v>1</v>
      </c>
      <c r="CX127" s="30">
        <v>1</v>
      </c>
      <c r="CY127" s="30">
        <v>1</v>
      </c>
      <c r="CZ127" s="30">
        <v>1</v>
      </c>
      <c r="DA127" s="30">
        <v>1</v>
      </c>
    </row>
    <row r="128" spans="1:105" x14ac:dyDescent="0.3">
      <c r="A128" s="34" t="str">
        <f t="shared" si="3"/>
        <v>Induri - ShellSilk XS</v>
      </c>
      <c r="B128" s="20" t="s">
        <v>82</v>
      </c>
      <c r="C128" s="30" t="s">
        <v>11</v>
      </c>
      <c r="D128" s="19" t="s">
        <v>40</v>
      </c>
      <c r="E128" s="18" t="s">
        <v>56</v>
      </c>
      <c r="F128" s="30">
        <v>7</v>
      </c>
      <c r="G128" s="30">
        <v>3</v>
      </c>
      <c r="H128" s="30">
        <v>30</v>
      </c>
      <c r="I128" s="41"/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>
        <v>693.75000000000011</v>
      </c>
      <c r="AD128" s="21">
        <v>693.75000000000011</v>
      </c>
      <c r="AE128" s="21">
        <v>693.75000000000011</v>
      </c>
      <c r="AF128" s="21">
        <v>693.75000000000011</v>
      </c>
      <c r="AG128" s="21">
        <v>693.75000000000011</v>
      </c>
      <c r="AH128" s="21">
        <v>693.75000000000011</v>
      </c>
      <c r="AI128" s="21"/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30">
        <v>1</v>
      </c>
      <c r="BG128" s="30">
        <v>1</v>
      </c>
      <c r="BH128" s="30">
        <v>1</v>
      </c>
      <c r="BI128" s="30">
        <v>1</v>
      </c>
      <c r="BJ128" s="30">
        <v>1</v>
      </c>
      <c r="BK128" s="30">
        <v>1</v>
      </c>
      <c r="BL128" s="30">
        <v>1</v>
      </c>
      <c r="BM128" s="30">
        <v>1</v>
      </c>
      <c r="BN128" s="30">
        <v>1</v>
      </c>
      <c r="BO128" s="30">
        <v>1</v>
      </c>
      <c r="BP128" s="30">
        <v>1</v>
      </c>
      <c r="BQ128" s="30">
        <v>1</v>
      </c>
      <c r="BR128" s="30">
        <v>1</v>
      </c>
      <c r="BS128" s="30">
        <v>1</v>
      </c>
      <c r="BT128" s="30">
        <v>1</v>
      </c>
      <c r="BU128" s="30">
        <v>1</v>
      </c>
      <c r="BV128" s="30">
        <v>1</v>
      </c>
      <c r="BW128" s="30">
        <v>1</v>
      </c>
      <c r="BX128" s="30">
        <v>1</v>
      </c>
      <c r="BY128" s="30">
        <v>1</v>
      </c>
      <c r="BZ128" s="30">
        <v>1</v>
      </c>
      <c r="CA128" s="30">
        <v>1</v>
      </c>
      <c r="CB128" s="30">
        <v>1</v>
      </c>
      <c r="CC128" s="30">
        <v>1</v>
      </c>
      <c r="CD128" s="30">
        <v>1</v>
      </c>
      <c r="CE128" s="30">
        <v>1</v>
      </c>
      <c r="CF128" s="30">
        <v>1</v>
      </c>
      <c r="CG128" s="30">
        <v>1</v>
      </c>
      <c r="CH128" s="30">
        <v>1</v>
      </c>
      <c r="CI128" s="30">
        <v>1</v>
      </c>
      <c r="CJ128" s="30">
        <v>1</v>
      </c>
      <c r="CK128" s="30">
        <v>1</v>
      </c>
      <c r="CL128" s="30">
        <v>1</v>
      </c>
      <c r="CM128" s="30">
        <v>1</v>
      </c>
      <c r="CN128" s="30">
        <v>1</v>
      </c>
      <c r="CO128" s="30">
        <v>1</v>
      </c>
      <c r="CP128" s="30">
        <v>1</v>
      </c>
      <c r="CQ128" s="30">
        <v>1</v>
      </c>
      <c r="CR128" s="30">
        <v>1</v>
      </c>
      <c r="CS128" s="30">
        <v>1</v>
      </c>
      <c r="CT128" s="30">
        <v>1</v>
      </c>
      <c r="CU128" s="30">
        <v>1</v>
      </c>
      <c r="CV128" s="30">
        <v>1</v>
      </c>
      <c r="CW128" s="30">
        <v>1</v>
      </c>
      <c r="CX128" s="30">
        <v>1</v>
      </c>
      <c r="CY128" s="30">
        <v>1</v>
      </c>
      <c r="CZ128" s="30">
        <v>1</v>
      </c>
      <c r="DA128" s="30">
        <v>1</v>
      </c>
    </row>
    <row r="129" spans="1:105" x14ac:dyDescent="0.3">
      <c r="A129" s="34" t="str">
        <f t="shared" si="3"/>
        <v>Sricity - ULSilk Kunafa</v>
      </c>
      <c r="B129" s="20" t="s">
        <v>81</v>
      </c>
      <c r="C129" s="30" t="s">
        <v>18</v>
      </c>
      <c r="D129" s="19" t="s">
        <v>40</v>
      </c>
      <c r="E129" s="18" t="s">
        <v>248</v>
      </c>
      <c r="F129" s="30">
        <v>7</v>
      </c>
      <c r="G129" s="30">
        <v>1</v>
      </c>
      <c r="H129" s="30"/>
      <c r="I129" s="4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>
        <v>833.33333333333337</v>
      </c>
      <c r="AD129" s="21">
        <v>833.33333333333337</v>
      </c>
      <c r="AE129" s="21">
        <v>833.33333333333337</v>
      </c>
      <c r="AF129" s="21">
        <v>833.33333333333337</v>
      </c>
      <c r="AG129" s="21">
        <v>833.33333333333337</v>
      </c>
      <c r="AH129" s="21">
        <v>833.33333333333337</v>
      </c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30">
        <v>1</v>
      </c>
      <c r="BG129" s="30">
        <v>1</v>
      </c>
      <c r="BH129" s="30">
        <v>1</v>
      </c>
      <c r="BI129" s="30">
        <v>1</v>
      </c>
      <c r="BJ129" s="30">
        <v>1</v>
      </c>
      <c r="BK129" s="30">
        <v>1</v>
      </c>
      <c r="BL129" s="30">
        <v>1</v>
      </c>
      <c r="BM129" s="30">
        <v>1</v>
      </c>
      <c r="BN129" s="30">
        <v>1</v>
      </c>
      <c r="BO129" s="30">
        <v>1</v>
      </c>
      <c r="BP129" s="30">
        <v>1</v>
      </c>
      <c r="BQ129" s="30">
        <v>1</v>
      </c>
      <c r="BR129" s="30">
        <v>1</v>
      </c>
      <c r="BS129" s="30">
        <v>1</v>
      </c>
      <c r="BT129" s="30">
        <v>1</v>
      </c>
      <c r="BU129" s="30">
        <v>1</v>
      </c>
      <c r="BV129" s="30">
        <v>1</v>
      </c>
      <c r="BW129" s="30">
        <v>1</v>
      </c>
      <c r="BX129" s="30">
        <v>1</v>
      </c>
      <c r="BY129" s="30">
        <v>1</v>
      </c>
      <c r="BZ129" s="30">
        <v>1</v>
      </c>
      <c r="CA129" s="30">
        <v>1</v>
      </c>
      <c r="CB129" s="30">
        <v>1</v>
      </c>
      <c r="CC129" s="30">
        <v>1</v>
      </c>
      <c r="CD129" s="30">
        <v>1</v>
      </c>
      <c r="CE129" s="30">
        <v>1</v>
      </c>
      <c r="CF129" s="30">
        <v>1</v>
      </c>
      <c r="CG129" s="30">
        <v>1</v>
      </c>
      <c r="CH129" s="30">
        <v>1</v>
      </c>
      <c r="CI129" s="30">
        <v>1</v>
      </c>
      <c r="CJ129" s="30">
        <v>1</v>
      </c>
      <c r="CK129" s="30">
        <v>1</v>
      </c>
      <c r="CL129" s="30">
        <v>1</v>
      </c>
      <c r="CM129" s="30">
        <v>1</v>
      </c>
      <c r="CN129" s="30">
        <v>1</v>
      </c>
      <c r="CO129" s="30">
        <v>1</v>
      </c>
      <c r="CP129" s="30">
        <v>1</v>
      </c>
      <c r="CQ129" s="30">
        <v>1</v>
      </c>
      <c r="CR129" s="30">
        <v>1</v>
      </c>
      <c r="CS129" s="30">
        <v>1</v>
      </c>
      <c r="CT129" s="30">
        <v>1</v>
      </c>
      <c r="CU129" s="30">
        <v>1</v>
      </c>
      <c r="CV129" s="30">
        <v>1</v>
      </c>
      <c r="CW129" s="30">
        <v>1</v>
      </c>
      <c r="CX129" s="30">
        <v>1</v>
      </c>
      <c r="CY129" s="30">
        <v>1</v>
      </c>
      <c r="CZ129" s="30">
        <v>1</v>
      </c>
      <c r="DA129" s="30">
        <v>1</v>
      </c>
    </row>
    <row r="130" spans="1:105" x14ac:dyDescent="0.3">
      <c r="A130" s="34" t="str">
        <f t="shared" si="3"/>
        <v>Sricity - LOFCDM 150 Champions</v>
      </c>
      <c r="B130" s="20" t="s">
        <v>81</v>
      </c>
      <c r="C130" s="30" t="s">
        <v>19</v>
      </c>
      <c r="D130" s="19" t="s">
        <v>23</v>
      </c>
      <c r="E130" s="18" t="s">
        <v>249</v>
      </c>
      <c r="F130" s="30">
        <v>5</v>
      </c>
      <c r="G130" s="30">
        <v>1</v>
      </c>
      <c r="H130" s="30"/>
      <c r="I130" s="4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>
        <v>1250</v>
      </c>
      <c r="AD130" s="21">
        <v>1250</v>
      </c>
      <c r="AE130" s="21">
        <v>1250</v>
      </c>
      <c r="AF130" s="21">
        <v>1250</v>
      </c>
      <c r="AG130" s="21">
        <v>1250</v>
      </c>
      <c r="AH130" s="21">
        <v>1250</v>
      </c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30">
        <v>1</v>
      </c>
      <c r="BG130" s="30">
        <v>1</v>
      </c>
      <c r="BH130" s="30">
        <v>1</v>
      </c>
      <c r="BI130" s="30">
        <v>1</v>
      </c>
      <c r="BJ130" s="30">
        <v>1</v>
      </c>
      <c r="BK130" s="30">
        <v>1</v>
      </c>
      <c r="BL130" s="30">
        <v>1</v>
      </c>
      <c r="BM130" s="30">
        <v>1</v>
      </c>
      <c r="BN130" s="30">
        <v>1</v>
      </c>
      <c r="BO130" s="30">
        <v>1</v>
      </c>
      <c r="BP130" s="30">
        <v>1</v>
      </c>
      <c r="BQ130" s="30">
        <v>1</v>
      </c>
      <c r="BR130" s="30">
        <v>1</v>
      </c>
      <c r="BS130" s="30">
        <v>1</v>
      </c>
      <c r="BT130" s="30">
        <v>1</v>
      </c>
      <c r="BU130" s="30">
        <v>1</v>
      </c>
      <c r="BV130" s="30">
        <v>1</v>
      </c>
      <c r="BW130" s="30">
        <v>1</v>
      </c>
      <c r="BX130" s="30">
        <v>1</v>
      </c>
      <c r="BY130" s="30">
        <v>1</v>
      </c>
      <c r="BZ130" s="30">
        <v>1</v>
      </c>
      <c r="CA130" s="30">
        <v>1</v>
      </c>
      <c r="CB130" s="30">
        <v>1</v>
      </c>
      <c r="CC130" s="30">
        <v>1</v>
      </c>
      <c r="CD130" s="30">
        <v>1</v>
      </c>
      <c r="CE130" s="30">
        <v>1</v>
      </c>
      <c r="CF130" s="30">
        <v>1</v>
      </c>
      <c r="CG130" s="30">
        <v>1</v>
      </c>
      <c r="CH130" s="30">
        <v>1</v>
      </c>
      <c r="CI130" s="30">
        <v>1</v>
      </c>
      <c r="CJ130" s="30">
        <v>1</v>
      </c>
      <c r="CK130" s="30">
        <v>1</v>
      </c>
      <c r="CL130" s="30">
        <v>1</v>
      </c>
      <c r="CM130" s="30">
        <v>1</v>
      </c>
      <c r="CN130" s="30">
        <v>1</v>
      </c>
      <c r="CO130" s="30">
        <v>1</v>
      </c>
      <c r="CP130" s="30">
        <v>1</v>
      </c>
      <c r="CQ130" s="30">
        <v>1</v>
      </c>
      <c r="CR130" s="30">
        <v>1</v>
      </c>
      <c r="CS130" s="30">
        <v>1</v>
      </c>
      <c r="CT130" s="30">
        <v>1</v>
      </c>
      <c r="CU130" s="30">
        <v>1</v>
      </c>
      <c r="CV130" s="30">
        <v>1</v>
      </c>
      <c r="CW130" s="30">
        <v>1</v>
      </c>
      <c r="CX130" s="30">
        <v>1</v>
      </c>
      <c r="CY130" s="30">
        <v>1</v>
      </c>
      <c r="CZ130" s="30">
        <v>1</v>
      </c>
      <c r="DA130" s="30">
        <v>1</v>
      </c>
    </row>
    <row r="131" spans="1:105" x14ac:dyDescent="0.3">
      <c r="A131" s="34" t="str">
        <f t="shared" si="3"/>
        <v>Makson - STemptation AT</v>
      </c>
      <c r="B131" s="20" t="s">
        <v>216</v>
      </c>
      <c r="C131" s="30" t="s">
        <v>5</v>
      </c>
      <c r="D131" s="19" t="s">
        <v>244</v>
      </c>
      <c r="E131" s="18" t="s">
        <v>71</v>
      </c>
      <c r="F131" s="30">
        <v>1</v>
      </c>
      <c r="G131" s="30">
        <v>2</v>
      </c>
      <c r="H131" s="30">
        <v>30</v>
      </c>
      <c r="I131" s="41"/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>
        <v>416.66666666666669</v>
      </c>
      <c r="AD131" s="21">
        <v>416.66666666666669</v>
      </c>
      <c r="AE131" s="21">
        <v>416.66666666666669</v>
      </c>
      <c r="AF131" s="21">
        <v>416.66666666666669</v>
      </c>
      <c r="AG131" s="21">
        <v>416.66666666666669</v>
      </c>
      <c r="AH131" s="21">
        <v>416.66666666666669</v>
      </c>
      <c r="AI131" s="21"/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30">
        <v>1</v>
      </c>
      <c r="BG131" s="30">
        <v>1</v>
      </c>
      <c r="BH131" s="30">
        <v>1</v>
      </c>
      <c r="BI131" s="30">
        <v>1</v>
      </c>
      <c r="BJ131" s="30">
        <v>1</v>
      </c>
      <c r="BK131" s="30">
        <v>1</v>
      </c>
      <c r="BL131" s="30">
        <v>1</v>
      </c>
      <c r="BM131" s="30">
        <v>1</v>
      </c>
      <c r="BN131" s="30">
        <v>1</v>
      </c>
      <c r="BO131" s="30">
        <v>1</v>
      </c>
      <c r="BP131" s="30">
        <v>1</v>
      </c>
      <c r="BQ131" s="30">
        <v>1</v>
      </c>
      <c r="BR131" s="30">
        <v>1</v>
      </c>
      <c r="BS131" s="30">
        <v>1</v>
      </c>
      <c r="BT131" s="30">
        <v>1</v>
      </c>
      <c r="BU131" s="30">
        <v>1</v>
      </c>
      <c r="BV131" s="30">
        <v>1</v>
      </c>
      <c r="BW131" s="30">
        <v>1</v>
      </c>
      <c r="BX131" s="30">
        <v>1</v>
      </c>
      <c r="BY131" s="30">
        <v>1</v>
      </c>
      <c r="BZ131" s="30">
        <v>1</v>
      </c>
      <c r="CA131" s="30">
        <v>1</v>
      </c>
      <c r="CB131" s="30">
        <v>1</v>
      </c>
      <c r="CC131" s="30">
        <v>1</v>
      </c>
      <c r="CD131" s="30">
        <v>1</v>
      </c>
      <c r="CE131" s="30">
        <v>1</v>
      </c>
      <c r="CF131" s="30">
        <v>1</v>
      </c>
      <c r="CG131" s="30">
        <v>1</v>
      </c>
      <c r="CH131" s="30">
        <v>1</v>
      </c>
      <c r="CI131" s="30">
        <v>1</v>
      </c>
      <c r="CJ131" s="30">
        <v>1</v>
      </c>
      <c r="CK131" s="30">
        <v>1</v>
      </c>
      <c r="CL131" s="30">
        <v>1</v>
      </c>
      <c r="CM131" s="30">
        <v>1</v>
      </c>
      <c r="CN131" s="30">
        <v>1</v>
      </c>
      <c r="CO131" s="30">
        <v>1</v>
      </c>
      <c r="CP131" s="30">
        <v>1</v>
      </c>
      <c r="CQ131" s="30">
        <v>1</v>
      </c>
      <c r="CR131" s="30">
        <v>1</v>
      </c>
      <c r="CS131" s="30">
        <v>1</v>
      </c>
      <c r="CT131" s="30">
        <v>1</v>
      </c>
      <c r="CU131" s="30">
        <v>1</v>
      </c>
      <c r="CV131" s="30">
        <v>1</v>
      </c>
      <c r="CW131" s="30">
        <v>1</v>
      </c>
      <c r="CX131" s="30">
        <v>1</v>
      </c>
      <c r="CY131" s="30">
        <v>1</v>
      </c>
      <c r="CZ131" s="30">
        <v>1</v>
      </c>
      <c r="DA131" s="30">
        <v>1</v>
      </c>
    </row>
    <row r="132" spans="1:105" x14ac:dyDescent="0.3">
      <c r="A132" s="34" t="str">
        <f t="shared" si="3"/>
        <v>Makson - STemptation RR</v>
      </c>
      <c r="B132" s="20" t="s">
        <v>216</v>
      </c>
      <c r="C132" s="30" t="s">
        <v>5</v>
      </c>
      <c r="D132" s="19" t="s">
        <v>244</v>
      </c>
      <c r="E132" s="18" t="s">
        <v>72</v>
      </c>
      <c r="F132" s="30">
        <v>1</v>
      </c>
      <c r="G132" s="30">
        <v>2</v>
      </c>
      <c r="H132" s="30">
        <v>30</v>
      </c>
      <c r="I132" s="41"/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>
        <v>416.66666666666669</v>
      </c>
      <c r="AD132" s="21">
        <v>416.66666666666669</v>
      </c>
      <c r="AE132" s="21">
        <v>416.66666666666669</v>
      </c>
      <c r="AF132" s="21">
        <v>416.66666666666669</v>
      </c>
      <c r="AG132" s="21">
        <v>416.66666666666669</v>
      </c>
      <c r="AH132" s="21">
        <v>416.66666666666669</v>
      </c>
      <c r="AI132" s="21"/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30">
        <v>1</v>
      </c>
      <c r="BG132" s="30">
        <v>1</v>
      </c>
      <c r="BH132" s="30">
        <v>1</v>
      </c>
      <c r="BI132" s="30">
        <v>1</v>
      </c>
      <c r="BJ132" s="30">
        <v>1</v>
      </c>
      <c r="BK132" s="30">
        <v>1</v>
      </c>
      <c r="BL132" s="30">
        <v>1</v>
      </c>
      <c r="BM132" s="30">
        <v>1</v>
      </c>
      <c r="BN132" s="30">
        <v>1</v>
      </c>
      <c r="BO132" s="30">
        <v>1</v>
      </c>
      <c r="BP132" s="30">
        <v>1</v>
      </c>
      <c r="BQ132" s="30">
        <v>1</v>
      </c>
      <c r="BR132" s="30">
        <v>1</v>
      </c>
      <c r="BS132" s="30">
        <v>1</v>
      </c>
      <c r="BT132" s="30">
        <v>1</v>
      </c>
      <c r="BU132" s="30">
        <v>1</v>
      </c>
      <c r="BV132" s="30">
        <v>1</v>
      </c>
      <c r="BW132" s="30">
        <v>1</v>
      </c>
      <c r="BX132" s="30">
        <v>1</v>
      </c>
      <c r="BY132" s="30">
        <v>1</v>
      </c>
      <c r="BZ132" s="30">
        <v>1</v>
      </c>
      <c r="CA132" s="30">
        <v>1</v>
      </c>
      <c r="CB132" s="30">
        <v>1</v>
      </c>
      <c r="CC132" s="30">
        <v>1</v>
      </c>
      <c r="CD132" s="30">
        <v>1</v>
      </c>
      <c r="CE132" s="30">
        <v>1</v>
      </c>
      <c r="CF132" s="30">
        <v>1</v>
      </c>
      <c r="CG132" s="30">
        <v>1</v>
      </c>
      <c r="CH132" s="30">
        <v>1</v>
      </c>
      <c r="CI132" s="30">
        <v>1</v>
      </c>
      <c r="CJ132" s="30">
        <v>1</v>
      </c>
      <c r="CK132" s="30">
        <v>1</v>
      </c>
      <c r="CL132" s="30">
        <v>1</v>
      </c>
      <c r="CM132" s="30">
        <v>1</v>
      </c>
      <c r="CN132" s="30">
        <v>1</v>
      </c>
      <c r="CO132" s="30">
        <v>1</v>
      </c>
      <c r="CP132" s="30">
        <v>1</v>
      </c>
      <c r="CQ132" s="30">
        <v>1</v>
      </c>
      <c r="CR132" s="30">
        <v>1</v>
      </c>
      <c r="CS132" s="30">
        <v>1</v>
      </c>
      <c r="CT132" s="30">
        <v>1</v>
      </c>
      <c r="CU132" s="30">
        <v>1</v>
      </c>
      <c r="CV132" s="30">
        <v>1</v>
      </c>
      <c r="CW132" s="30">
        <v>1</v>
      </c>
      <c r="CX132" s="30">
        <v>1</v>
      </c>
      <c r="CY132" s="30">
        <v>1</v>
      </c>
      <c r="CZ132" s="30">
        <v>1</v>
      </c>
      <c r="DA132" s="30">
        <v>1</v>
      </c>
    </row>
    <row r="133" spans="1:105" x14ac:dyDescent="0.3">
      <c r="A133" s="34" t="str">
        <f t="shared" si="3"/>
        <v>Induri - MLCDM 20 Bulk</v>
      </c>
      <c r="B133" s="43" t="s">
        <v>82</v>
      </c>
      <c r="C133" s="43" t="s">
        <v>9</v>
      </c>
      <c r="D133" s="44" t="s">
        <v>23</v>
      </c>
      <c r="E133" s="45" t="s">
        <v>29</v>
      </c>
      <c r="F133" s="46">
        <v>1</v>
      </c>
      <c r="G133" s="46">
        <v>1</v>
      </c>
      <c r="H133" s="46">
        <v>30</v>
      </c>
      <c r="I133" s="46"/>
      <c r="J133" s="47">
        <v>0</v>
      </c>
      <c r="K133" s="47">
        <v>0</v>
      </c>
      <c r="L133" s="47">
        <v>0</v>
      </c>
      <c r="M133" s="47">
        <v>0</v>
      </c>
      <c r="N133" s="47">
        <v>0</v>
      </c>
      <c r="O133" s="47">
        <v>0</v>
      </c>
      <c r="P133" s="47">
        <v>0</v>
      </c>
      <c r="Q133" s="47"/>
      <c r="R133" s="47"/>
      <c r="S133" s="47"/>
      <c r="T133" s="21"/>
      <c r="U133" s="21"/>
      <c r="V133" s="21"/>
      <c r="W133" s="21"/>
      <c r="X133" s="21"/>
      <c r="Y133" s="21"/>
      <c r="Z133" s="21"/>
      <c r="AA133" s="21"/>
      <c r="AB133" s="21"/>
      <c r="AC133" s="21">
        <v>1541.6666666666667</v>
      </c>
      <c r="AD133" s="21">
        <v>1541.6666666666667</v>
      </c>
      <c r="AE133" s="21">
        <v>1541.6666666666667</v>
      </c>
      <c r="AF133" s="21">
        <v>1541.6666666666667</v>
      </c>
      <c r="AG133" s="21">
        <v>1541.6666666666667</v>
      </c>
      <c r="AH133" s="21">
        <v>1541.6666666666667</v>
      </c>
      <c r="AI133" s="47"/>
      <c r="AJ133" s="47">
        <v>0</v>
      </c>
      <c r="AK133" s="47">
        <v>0</v>
      </c>
      <c r="AL133" s="47">
        <v>0</v>
      </c>
      <c r="AM133" s="47">
        <v>0</v>
      </c>
      <c r="AN133" s="47">
        <v>0</v>
      </c>
      <c r="AO133" s="47">
        <v>0</v>
      </c>
      <c r="AP133" s="47">
        <v>0</v>
      </c>
      <c r="AQ133" s="47">
        <v>0</v>
      </c>
      <c r="AR133" s="47">
        <v>0</v>
      </c>
      <c r="AS133" s="47">
        <v>0</v>
      </c>
      <c r="AT133" s="47">
        <v>0</v>
      </c>
      <c r="AU133" s="47">
        <v>0</v>
      </c>
      <c r="AV133" s="47">
        <v>0</v>
      </c>
      <c r="AW133" s="47">
        <v>0</v>
      </c>
      <c r="AX133" s="47">
        <v>0</v>
      </c>
      <c r="AY133" s="47">
        <v>0</v>
      </c>
      <c r="AZ133" s="47">
        <v>0</v>
      </c>
      <c r="BA133" s="47">
        <v>0</v>
      </c>
      <c r="BB133" s="47">
        <v>0</v>
      </c>
      <c r="BC133" s="47">
        <v>0</v>
      </c>
      <c r="BD133" s="47">
        <v>0</v>
      </c>
      <c r="BE133" s="47">
        <v>0</v>
      </c>
      <c r="BF133" s="30">
        <v>1</v>
      </c>
      <c r="BG133" s="30">
        <v>1</v>
      </c>
      <c r="BH133" s="30">
        <v>1</v>
      </c>
      <c r="BI133" s="30">
        <v>1</v>
      </c>
      <c r="BJ133" s="30">
        <v>1</v>
      </c>
      <c r="BK133" s="30">
        <v>1</v>
      </c>
      <c r="BL133" s="30">
        <v>1</v>
      </c>
      <c r="BM133" s="30">
        <v>1</v>
      </c>
      <c r="BN133" s="30">
        <v>1</v>
      </c>
      <c r="BO133" s="30">
        <v>1</v>
      </c>
      <c r="BP133" s="30">
        <v>1</v>
      </c>
      <c r="BQ133" s="30">
        <v>1</v>
      </c>
      <c r="BR133" s="30">
        <v>1</v>
      </c>
      <c r="BS133" s="30">
        <v>1</v>
      </c>
      <c r="BT133" s="30">
        <v>1</v>
      </c>
      <c r="BU133" s="30">
        <v>1</v>
      </c>
      <c r="BV133" s="30">
        <v>1</v>
      </c>
      <c r="BW133" s="30">
        <v>1</v>
      </c>
      <c r="BX133" s="30">
        <v>1</v>
      </c>
      <c r="BY133" s="30">
        <v>1</v>
      </c>
      <c r="BZ133" s="30">
        <v>1</v>
      </c>
      <c r="CA133" s="30">
        <v>1</v>
      </c>
      <c r="CB133" s="30">
        <v>1</v>
      </c>
      <c r="CC133" s="30">
        <v>1</v>
      </c>
      <c r="CD133" s="30">
        <v>1</v>
      </c>
      <c r="CE133" s="30">
        <v>1</v>
      </c>
      <c r="CF133" s="30">
        <v>1</v>
      </c>
      <c r="CG133" s="30">
        <v>1</v>
      </c>
      <c r="CH133" s="30">
        <v>1</v>
      </c>
      <c r="CI133" s="30">
        <v>1</v>
      </c>
      <c r="CJ133" s="30">
        <v>1</v>
      </c>
      <c r="CK133" s="30">
        <v>1</v>
      </c>
      <c r="CL133" s="30">
        <v>1</v>
      </c>
      <c r="CM133" s="30">
        <v>1</v>
      </c>
      <c r="CN133" s="30">
        <v>1</v>
      </c>
      <c r="CO133" s="30">
        <v>1</v>
      </c>
      <c r="CP133" s="30">
        <v>1</v>
      </c>
      <c r="CQ133" s="30">
        <v>1</v>
      </c>
      <c r="CR133" s="30">
        <v>1</v>
      </c>
      <c r="CS133" s="30">
        <v>1</v>
      </c>
      <c r="CT133" s="30">
        <v>1</v>
      </c>
      <c r="CU133" s="30">
        <v>1</v>
      </c>
      <c r="CV133" s="30">
        <v>1</v>
      </c>
      <c r="CW133" s="30">
        <v>1</v>
      </c>
      <c r="CX133" s="30">
        <v>1</v>
      </c>
      <c r="CY133" s="30">
        <v>1</v>
      </c>
      <c r="CZ133" s="30">
        <v>1</v>
      </c>
      <c r="DA133" s="30">
        <v>1</v>
      </c>
    </row>
    <row r="134" spans="1:105" x14ac:dyDescent="0.3">
      <c r="A134" s="34" t="str">
        <f>C134&amp;E134</f>
        <v>Sricity - NMLCDM 20 Bulk</v>
      </c>
      <c r="B134" s="43" t="s">
        <v>81</v>
      </c>
      <c r="C134" s="43" t="s">
        <v>17</v>
      </c>
      <c r="D134" s="44" t="s">
        <v>23</v>
      </c>
      <c r="E134" s="45" t="s">
        <v>29</v>
      </c>
      <c r="F134" s="46">
        <v>6</v>
      </c>
      <c r="G134" s="46">
        <v>1</v>
      </c>
      <c r="H134" s="46">
        <v>30</v>
      </c>
      <c r="I134" s="46"/>
      <c r="J134" s="47">
        <v>0</v>
      </c>
      <c r="K134" s="47">
        <v>0</v>
      </c>
      <c r="L134" s="47">
        <v>0</v>
      </c>
      <c r="M134" s="47">
        <v>0</v>
      </c>
      <c r="N134" s="47">
        <v>0</v>
      </c>
      <c r="O134" s="47">
        <v>0</v>
      </c>
      <c r="P134" s="47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>
        <v>1482.9365079365077</v>
      </c>
      <c r="AD134" s="21">
        <v>1482.9365079365077</v>
      </c>
      <c r="AE134" s="21">
        <v>1482.936507936508</v>
      </c>
      <c r="AF134" s="21">
        <v>1482.936507936508</v>
      </c>
      <c r="AG134" s="21">
        <v>1482.936507936508</v>
      </c>
      <c r="AH134" s="21">
        <v>1482.936507936508</v>
      </c>
      <c r="AI134" s="47"/>
      <c r="AJ134" s="47">
        <v>0</v>
      </c>
      <c r="AK134" s="47">
        <v>0</v>
      </c>
      <c r="AL134" s="47">
        <v>0</v>
      </c>
      <c r="AM134" s="47">
        <v>0</v>
      </c>
      <c r="AN134" s="47">
        <v>0</v>
      </c>
      <c r="AO134" s="47">
        <v>0</v>
      </c>
      <c r="AP134" s="47">
        <v>0</v>
      </c>
      <c r="AQ134" s="47">
        <v>0</v>
      </c>
      <c r="AR134" s="47">
        <v>0</v>
      </c>
      <c r="AS134" s="47">
        <v>0</v>
      </c>
      <c r="AT134" s="47">
        <v>0</v>
      </c>
      <c r="AU134" s="47">
        <v>0</v>
      </c>
      <c r="AV134" s="47">
        <v>0</v>
      </c>
      <c r="AW134" s="47">
        <v>0</v>
      </c>
      <c r="AX134" s="47">
        <v>0</v>
      </c>
      <c r="AY134" s="47">
        <v>0</v>
      </c>
      <c r="AZ134" s="47">
        <v>0</v>
      </c>
      <c r="BA134" s="47">
        <v>0</v>
      </c>
      <c r="BB134" s="47">
        <v>0</v>
      </c>
      <c r="BC134" s="47">
        <v>0</v>
      </c>
      <c r="BD134" s="47">
        <v>0</v>
      </c>
      <c r="BE134" s="47">
        <v>0</v>
      </c>
      <c r="BF134" s="30">
        <v>1</v>
      </c>
      <c r="BG134" s="30">
        <v>1</v>
      </c>
      <c r="BH134" s="30">
        <v>1</v>
      </c>
      <c r="BI134" s="30">
        <v>1</v>
      </c>
      <c r="BJ134" s="30">
        <v>1</v>
      </c>
      <c r="BK134" s="30">
        <v>1</v>
      </c>
      <c r="BL134" s="30">
        <v>1</v>
      </c>
      <c r="BM134" s="30">
        <v>1</v>
      </c>
      <c r="BN134" s="30">
        <v>1</v>
      </c>
      <c r="BO134" s="30">
        <v>1</v>
      </c>
      <c r="BP134" s="30">
        <v>1</v>
      </c>
      <c r="BQ134" s="30">
        <v>1</v>
      </c>
      <c r="BR134" s="30">
        <v>1</v>
      </c>
      <c r="BS134" s="30">
        <v>1</v>
      </c>
      <c r="BT134" s="30">
        <v>1</v>
      </c>
      <c r="BU134" s="30">
        <v>1</v>
      </c>
      <c r="BV134" s="30">
        <v>1</v>
      </c>
      <c r="BW134" s="30">
        <v>1</v>
      </c>
      <c r="BX134" s="30">
        <v>1</v>
      </c>
      <c r="BY134" s="30">
        <v>1</v>
      </c>
      <c r="BZ134" s="30">
        <v>1</v>
      </c>
      <c r="CA134" s="30">
        <v>1</v>
      </c>
      <c r="CB134" s="30">
        <v>1</v>
      </c>
      <c r="CC134" s="30">
        <v>1</v>
      </c>
      <c r="CD134" s="30">
        <v>1</v>
      </c>
      <c r="CE134" s="30">
        <v>1</v>
      </c>
      <c r="CF134" s="30">
        <v>1</v>
      </c>
      <c r="CG134" s="30">
        <v>1</v>
      </c>
      <c r="CH134" s="30">
        <v>1</v>
      </c>
      <c r="CI134" s="30">
        <v>1</v>
      </c>
      <c r="CJ134" s="30">
        <v>1</v>
      </c>
      <c r="CK134" s="30">
        <v>1</v>
      </c>
      <c r="CL134" s="30">
        <v>1</v>
      </c>
      <c r="CM134" s="30">
        <v>1</v>
      </c>
      <c r="CN134" s="30">
        <v>1</v>
      </c>
      <c r="CO134" s="30">
        <v>1</v>
      </c>
      <c r="CP134" s="30">
        <v>1</v>
      </c>
      <c r="CQ134" s="30">
        <v>1</v>
      </c>
      <c r="CR134" s="30">
        <v>1</v>
      </c>
      <c r="CS134" s="30">
        <v>1</v>
      </c>
      <c r="CT134" s="30">
        <v>1</v>
      </c>
      <c r="CU134" s="30">
        <v>1</v>
      </c>
      <c r="CV134" s="30">
        <v>1</v>
      </c>
      <c r="CW134" s="30">
        <v>1</v>
      </c>
      <c r="CX134" s="30">
        <v>1</v>
      </c>
      <c r="CY134" s="30">
        <v>1</v>
      </c>
      <c r="CZ134" s="30">
        <v>1</v>
      </c>
      <c r="DA134" s="30">
        <v>1</v>
      </c>
    </row>
    <row r="135" spans="1:105" x14ac:dyDescent="0.3">
      <c r="A135" s="34" t="str">
        <f t="shared" si="3"/>
        <v>Sricity - NMLCDM 40 NEPAL</v>
      </c>
      <c r="B135" s="43" t="s">
        <v>81</v>
      </c>
      <c r="C135" s="43" t="s">
        <v>17</v>
      </c>
      <c r="D135" s="44" t="s">
        <v>23</v>
      </c>
      <c r="E135" s="45" t="s">
        <v>245</v>
      </c>
      <c r="F135" s="46">
        <v>1</v>
      </c>
      <c r="G135" s="46">
        <v>1</v>
      </c>
      <c r="H135" s="46">
        <v>30</v>
      </c>
      <c r="I135" s="46"/>
      <c r="J135" s="47">
        <v>0</v>
      </c>
      <c r="K135" s="47">
        <v>0</v>
      </c>
      <c r="L135" s="47">
        <v>0</v>
      </c>
      <c r="M135" s="47">
        <v>0</v>
      </c>
      <c r="N135" s="47">
        <v>0</v>
      </c>
      <c r="O135" s="47">
        <v>0</v>
      </c>
      <c r="P135" s="47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>
        <v>2391.304347826087</v>
      </c>
      <c r="AD135" s="21">
        <v>2391.304347826087</v>
      </c>
      <c r="AE135" s="21">
        <v>2391.304347826087</v>
      </c>
      <c r="AF135" s="21">
        <v>2391.304347826087</v>
      </c>
      <c r="AG135" s="21">
        <v>2391.304347826087</v>
      </c>
      <c r="AH135" s="21">
        <v>2391.304347826087</v>
      </c>
      <c r="AI135" s="47"/>
      <c r="AJ135" s="47">
        <v>0</v>
      </c>
      <c r="AK135" s="47">
        <v>0</v>
      </c>
      <c r="AL135" s="47">
        <v>0</v>
      </c>
      <c r="AM135" s="47">
        <v>0</v>
      </c>
      <c r="AN135" s="47">
        <v>0</v>
      </c>
      <c r="AO135" s="47">
        <v>0</v>
      </c>
      <c r="AP135" s="47">
        <v>0</v>
      </c>
      <c r="AQ135" s="47">
        <v>0</v>
      </c>
      <c r="AR135" s="47">
        <v>0</v>
      </c>
      <c r="AS135" s="47">
        <v>0</v>
      </c>
      <c r="AT135" s="47">
        <v>0</v>
      </c>
      <c r="AU135" s="47">
        <v>0</v>
      </c>
      <c r="AV135" s="47">
        <v>0</v>
      </c>
      <c r="AW135" s="47">
        <v>0</v>
      </c>
      <c r="AX135" s="47">
        <v>0</v>
      </c>
      <c r="AY135" s="47">
        <v>0</v>
      </c>
      <c r="AZ135" s="47">
        <v>0</v>
      </c>
      <c r="BA135" s="47">
        <v>0</v>
      </c>
      <c r="BB135" s="47">
        <v>0</v>
      </c>
      <c r="BC135" s="47">
        <v>0</v>
      </c>
      <c r="BD135" s="47">
        <v>0</v>
      </c>
      <c r="BE135" s="47">
        <v>0</v>
      </c>
      <c r="BF135" s="30">
        <v>1</v>
      </c>
      <c r="BG135" s="30">
        <v>1</v>
      </c>
      <c r="BH135" s="30">
        <v>1</v>
      </c>
      <c r="BI135" s="30">
        <v>1</v>
      </c>
      <c r="BJ135" s="30">
        <v>1</v>
      </c>
      <c r="BK135" s="30">
        <v>1</v>
      </c>
      <c r="BL135" s="30">
        <v>1</v>
      </c>
      <c r="BM135" s="30">
        <v>1</v>
      </c>
      <c r="BN135" s="30">
        <v>1</v>
      </c>
      <c r="BO135" s="30">
        <v>1</v>
      </c>
      <c r="BP135" s="30">
        <v>1</v>
      </c>
      <c r="BQ135" s="30">
        <v>1</v>
      </c>
      <c r="BR135" s="30">
        <v>1</v>
      </c>
      <c r="BS135" s="30">
        <v>1</v>
      </c>
      <c r="BT135" s="30">
        <v>1</v>
      </c>
      <c r="BU135" s="30">
        <v>1</v>
      </c>
      <c r="BV135" s="30">
        <v>1</v>
      </c>
      <c r="BW135" s="30">
        <v>1</v>
      </c>
      <c r="BX135" s="30">
        <v>1</v>
      </c>
      <c r="BY135" s="30">
        <v>1</v>
      </c>
      <c r="BZ135" s="30">
        <v>1</v>
      </c>
      <c r="CA135" s="30">
        <v>1</v>
      </c>
      <c r="CB135" s="30">
        <v>1</v>
      </c>
      <c r="CC135" s="30">
        <v>1</v>
      </c>
      <c r="CD135" s="30">
        <v>1</v>
      </c>
      <c r="CE135" s="30">
        <v>1</v>
      </c>
      <c r="CF135" s="30">
        <v>1</v>
      </c>
      <c r="CG135" s="30">
        <v>1</v>
      </c>
      <c r="CH135" s="30">
        <v>1</v>
      </c>
      <c r="CI135" s="30">
        <v>1</v>
      </c>
      <c r="CJ135" s="30">
        <v>1</v>
      </c>
      <c r="CK135" s="30">
        <v>1</v>
      </c>
      <c r="CL135" s="30">
        <v>1</v>
      </c>
      <c r="CM135" s="30">
        <v>1</v>
      </c>
      <c r="CN135" s="30">
        <v>1</v>
      </c>
      <c r="CO135" s="30">
        <v>1</v>
      </c>
      <c r="CP135" s="30">
        <v>1</v>
      </c>
      <c r="CQ135" s="30">
        <v>1</v>
      </c>
      <c r="CR135" s="30">
        <v>1</v>
      </c>
      <c r="CS135" s="30">
        <v>1</v>
      </c>
      <c r="CT135" s="30">
        <v>1</v>
      </c>
      <c r="CU135" s="30">
        <v>1</v>
      </c>
      <c r="CV135" s="30">
        <v>1</v>
      </c>
      <c r="CW135" s="30">
        <v>1</v>
      </c>
      <c r="CX135" s="30">
        <v>1</v>
      </c>
      <c r="CY135" s="30">
        <v>1</v>
      </c>
      <c r="CZ135" s="30">
        <v>1</v>
      </c>
      <c r="DA135" s="30">
        <v>1</v>
      </c>
    </row>
    <row r="136" spans="1:105" x14ac:dyDescent="0.3">
      <c r="A136" s="34"/>
      <c r="F136" s="29"/>
      <c r="G136" s="29"/>
      <c r="H136" s="28"/>
      <c r="I136" s="42"/>
    </row>
    <row r="137" spans="1:105" x14ac:dyDescent="0.3">
      <c r="A137" s="34" t="str">
        <f t="shared" si="3"/>
        <v/>
      </c>
      <c r="F137" s="29"/>
      <c r="G137" s="29"/>
      <c r="H137" s="28"/>
      <c r="I137" s="42"/>
    </row>
    <row r="138" spans="1:105" x14ac:dyDescent="0.3">
      <c r="A138" s="34" t="str">
        <f t="shared" si="3"/>
        <v/>
      </c>
      <c r="F138" s="29"/>
      <c r="G138" s="29"/>
      <c r="H138" s="28"/>
      <c r="I138" s="42"/>
    </row>
    <row r="139" spans="1:105" x14ac:dyDescent="0.3">
      <c r="A139" s="34" t="str">
        <f t="shared" si="3"/>
        <v/>
      </c>
      <c r="F139" s="29"/>
      <c r="G139" s="29"/>
      <c r="H139" s="28"/>
      <c r="I139" s="42"/>
    </row>
    <row r="140" spans="1:105" x14ac:dyDescent="0.3">
      <c r="A140" s="34" t="str">
        <f t="shared" si="3"/>
        <v/>
      </c>
      <c r="F140" s="29"/>
      <c r="G140" s="29"/>
      <c r="H140" s="28"/>
      <c r="I140" s="42"/>
    </row>
    <row r="141" spans="1:105" x14ac:dyDescent="0.3">
      <c r="A141" s="34" t="str">
        <f t="shared" si="3"/>
        <v/>
      </c>
      <c r="F141" s="29"/>
      <c r="G141" s="29"/>
      <c r="H141" s="28"/>
      <c r="I141" s="42"/>
    </row>
    <row r="142" spans="1:105" x14ac:dyDescent="0.3">
      <c r="A142" s="34" t="str">
        <f t="shared" si="3"/>
        <v/>
      </c>
      <c r="F142" s="29"/>
      <c r="G142" s="29"/>
      <c r="H142" s="28"/>
      <c r="I142" s="42"/>
    </row>
    <row r="143" spans="1:105" x14ac:dyDescent="0.3">
      <c r="A143" s="34" t="str">
        <f t="shared" ref="A143:A206" si="4">C143&amp;E143</f>
        <v/>
      </c>
      <c r="F143" s="29"/>
      <c r="G143" s="29"/>
      <c r="H143" s="28"/>
      <c r="I143" s="42"/>
    </row>
    <row r="144" spans="1:105" x14ac:dyDescent="0.3">
      <c r="A144" s="34" t="str">
        <f t="shared" si="4"/>
        <v/>
      </c>
      <c r="F144" s="29"/>
      <c r="G144" s="29"/>
      <c r="H144" s="28"/>
      <c r="I144" s="42"/>
    </row>
    <row r="145" spans="1:9" x14ac:dyDescent="0.3">
      <c r="A145" s="34" t="str">
        <f t="shared" si="4"/>
        <v/>
      </c>
      <c r="F145" s="29"/>
      <c r="G145" s="29"/>
      <c r="H145" s="28"/>
      <c r="I145" s="42"/>
    </row>
    <row r="146" spans="1:9" x14ac:dyDescent="0.3">
      <c r="A146" s="34" t="str">
        <f t="shared" si="4"/>
        <v/>
      </c>
      <c r="F146" s="29"/>
      <c r="G146" s="29"/>
      <c r="H146" s="28"/>
      <c r="I146" s="42"/>
    </row>
    <row r="147" spans="1:9" x14ac:dyDescent="0.3">
      <c r="A147" s="34" t="str">
        <f t="shared" si="4"/>
        <v/>
      </c>
      <c r="F147" s="29"/>
      <c r="G147" s="29"/>
      <c r="H147" s="28"/>
      <c r="I147" s="42"/>
    </row>
    <row r="148" spans="1:9" x14ac:dyDescent="0.3">
      <c r="A148" s="34" t="str">
        <f t="shared" si="4"/>
        <v/>
      </c>
      <c r="F148" s="29"/>
      <c r="G148" s="29"/>
      <c r="H148" s="28"/>
      <c r="I148" s="42"/>
    </row>
    <row r="149" spans="1:9" x14ac:dyDescent="0.3">
      <c r="A149" s="34" t="str">
        <f t="shared" si="4"/>
        <v/>
      </c>
      <c r="F149" s="29"/>
      <c r="G149" s="29"/>
      <c r="H149" s="28"/>
      <c r="I149" s="42"/>
    </row>
    <row r="150" spans="1:9" x14ac:dyDescent="0.3">
      <c r="A150" s="34" t="str">
        <f t="shared" si="4"/>
        <v/>
      </c>
      <c r="F150" s="29"/>
      <c r="G150" s="29"/>
      <c r="H150" s="28"/>
      <c r="I150" s="42"/>
    </row>
    <row r="151" spans="1:9" x14ac:dyDescent="0.3">
      <c r="A151" s="34" t="str">
        <f t="shared" si="4"/>
        <v/>
      </c>
      <c r="F151" s="29"/>
      <c r="G151" s="29"/>
      <c r="H151" s="28"/>
      <c r="I151" s="42"/>
    </row>
    <row r="152" spans="1:9" x14ac:dyDescent="0.3">
      <c r="A152" s="34" t="str">
        <f t="shared" si="4"/>
        <v/>
      </c>
      <c r="F152" s="29"/>
      <c r="G152" s="29"/>
      <c r="H152" s="28"/>
      <c r="I152" s="42"/>
    </row>
    <row r="153" spans="1:9" x14ac:dyDescent="0.3">
      <c r="A153" s="34" t="str">
        <f t="shared" si="4"/>
        <v/>
      </c>
      <c r="F153" s="29"/>
      <c r="G153" s="29"/>
      <c r="H153" s="28"/>
      <c r="I153" s="42"/>
    </row>
    <row r="154" spans="1:9" x14ac:dyDescent="0.3">
      <c r="A154" s="34" t="str">
        <f t="shared" si="4"/>
        <v/>
      </c>
      <c r="F154" s="29"/>
      <c r="G154" s="29"/>
      <c r="H154" s="28"/>
      <c r="I154" s="42"/>
    </row>
    <row r="155" spans="1:9" x14ac:dyDescent="0.3">
      <c r="A155" s="34" t="str">
        <f t="shared" si="4"/>
        <v/>
      </c>
      <c r="F155" s="29"/>
      <c r="G155" s="29"/>
      <c r="H155" s="28"/>
      <c r="I155" s="42"/>
    </row>
    <row r="156" spans="1:9" x14ac:dyDescent="0.3">
      <c r="A156" s="34" t="str">
        <f t="shared" si="4"/>
        <v/>
      </c>
      <c r="F156" s="29"/>
      <c r="G156" s="29"/>
      <c r="H156" s="28"/>
      <c r="I156" s="42"/>
    </row>
    <row r="157" spans="1:9" x14ac:dyDescent="0.3">
      <c r="A157" s="34" t="str">
        <f t="shared" si="4"/>
        <v/>
      </c>
      <c r="F157" s="29"/>
      <c r="G157" s="29"/>
      <c r="H157" s="28"/>
      <c r="I157" s="42"/>
    </row>
    <row r="158" spans="1:9" x14ac:dyDescent="0.3">
      <c r="A158" s="34" t="str">
        <f t="shared" si="4"/>
        <v/>
      </c>
      <c r="F158" s="29"/>
      <c r="G158" s="29"/>
      <c r="H158" s="28"/>
      <c r="I158" s="42"/>
    </row>
    <row r="159" spans="1:9" x14ac:dyDescent="0.3">
      <c r="A159" s="34" t="str">
        <f t="shared" si="4"/>
        <v/>
      </c>
      <c r="F159" s="29"/>
      <c r="G159" s="29"/>
      <c r="H159" s="28"/>
      <c r="I159" s="42"/>
    </row>
    <row r="160" spans="1:9" x14ac:dyDescent="0.3">
      <c r="A160" s="34" t="str">
        <f t="shared" si="4"/>
        <v/>
      </c>
      <c r="F160" s="29"/>
      <c r="G160" s="29"/>
      <c r="H160" s="28"/>
      <c r="I160" s="42"/>
    </row>
    <row r="161" spans="1:9" x14ac:dyDescent="0.3">
      <c r="A161" s="34" t="str">
        <f t="shared" si="4"/>
        <v/>
      </c>
      <c r="F161" s="29"/>
      <c r="G161" s="29"/>
      <c r="H161" s="28"/>
      <c r="I161" s="42"/>
    </row>
    <row r="162" spans="1:9" x14ac:dyDescent="0.3">
      <c r="A162" s="34" t="str">
        <f t="shared" si="4"/>
        <v/>
      </c>
      <c r="F162" s="29"/>
      <c r="G162" s="29"/>
      <c r="H162" s="28"/>
      <c r="I162" s="42"/>
    </row>
    <row r="163" spans="1:9" x14ac:dyDescent="0.3">
      <c r="A163" s="34" t="str">
        <f t="shared" si="4"/>
        <v/>
      </c>
      <c r="F163" s="29"/>
      <c r="G163" s="29"/>
      <c r="H163" s="28"/>
      <c r="I163" s="42"/>
    </row>
    <row r="164" spans="1:9" x14ac:dyDescent="0.3">
      <c r="A164" s="34" t="str">
        <f t="shared" si="4"/>
        <v/>
      </c>
      <c r="F164" s="29"/>
      <c r="G164" s="29"/>
      <c r="H164" s="28"/>
      <c r="I164" s="42"/>
    </row>
    <row r="165" spans="1:9" x14ac:dyDescent="0.3">
      <c r="A165" s="34" t="str">
        <f t="shared" si="4"/>
        <v/>
      </c>
      <c r="F165" s="29"/>
      <c r="G165" s="29"/>
      <c r="H165" s="28"/>
      <c r="I165" s="42"/>
    </row>
    <row r="166" spans="1:9" x14ac:dyDescent="0.3">
      <c r="A166" s="34" t="str">
        <f t="shared" si="4"/>
        <v/>
      </c>
      <c r="F166" s="29"/>
      <c r="G166" s="29"/>
      <c r="H166" s="28"/>
      <c r="I166" s="42"/>
    </row>
    <row r="167" spans="1:9" x14ac:dyDescent="0.3">
      <c r="A167" s="34" t="str">
        <f t="shared" si="4"/>
        <v/>
      </c>
      <c r="F167" s="29"/>
      <c r="G167" s="29"/>
      <c r="H167" s="28"/>
      <c r="I167" s="42"/>
    </row>
    <row r="168" spans="1:9" x14ac:dyDescent="0.3">
      <c r="A168" s="34" t="str">
        <f t="shared" si="4"/>
        <v/>
      </c>
      <c r="F168" s="29"/>
      <c r="G168" s="29"/>
      <c r="H168" s="28"/>
      <c r="I168" s="42"/>
    </row>
    <row r="169" spans="1:9" x14ac:dyDescent="0.3">
      <c r="A169" s="34" t="str">
        <f t="shared" si="4"/>
        <v/>
      </c>
      <c r="F169" s="29"/>
      <c r="G169" s="29"/>
      <c r="H169" s="28"/>
      <c r="I169" s="42"/>
    </row>
    <row r="170" spans="1:9" x14ac:dyDescent="0.3">
      <c r="A170" s="34" t="str">
        <f t="shared" si="4"/>
        <v/>
      </c>
      <c r="F170" s="29"/>
      <c r="G170" s="29"/>
      <c r="H170" s="28"/>
      <c r="I170" s="42"/>
    </row>
    <row r="171" spans="1:9" x14ac:dyDescent="0.3">
      <c r="A171" s="34" t="str">
        <f t="shared" si="4"/>
        <v/>
      </c>
      <c r="F171" s="29"/>
      <c r="G171" s="29"/>
      <c r="H171" s="28"/>
      <c r="I171" s="42"/>
    </row>
    <row r="172" spans="1:9" x14ac:dyDescent="0.3">
      <c r="A172" s="34" t="str">
        <f t="shared" si="4"/>
        <v/>
      </c>
      <c r="F172" s="29"/>
      <c r="G172" s="29"/>
      <c r="H172" s="28"/>
      <c r="I172" s="42"/>
    </row>
    <row r="173" spans="1:9" x14ac:dyDescent="0.3">
      <c r="A173" s="34" t="str">
        <f t="shared" si="4"/>
        <v/>
      </c>
      <c r="F173" s="29"/>
      <c r="G173" s="29"/>
      <c r="H173" s="28"/>
      <c r="I173" s="42"/>
    </row>
    <row r="174" spans="1:9" x14ac:dyDescent="0.3">
      <c r="A174" s="34" t="str">
        <f t="shared" si="4"/>
        <v/>
      </c>
      <c r="F174" s="29"/>
      <c r="G174" s="29"/>
      <c r="H174" s="28"/>
      <c r="I174" s="42"/>
    </row>
    <row r="175" spans="1:9" x14ac:dyDescent="0.3">
      <c r="A175" s="34" t="str">
        <f t="shared" si="4"/>
        <v/>
      </c>
      <c r="F175" s="29"/>
      <c r="G175" s="29"/>
      <c r="H175" s="28"/>
      <c r="I175" s="42"/>
    </row>
    <row r="176" spans="1:9" x14ac:dyDescent="0.3">
      <c r="A176" s="34" t="str">
        <f t="shared" si="4"/>
        <v/>
      </c>
      <c r="F176" s="29"/>
      <c r="G176" s="29"/>
      <c r="H176" s="28"/>
      <c r="I176" s="42"/>
    </row>
    <row r="177" spans="1:9" x14ac:dyDescent="0.3">
      <c r="A177" s="34" t="str">
        <f t="shared" si="4"/>
        <v/>
      </c>
      <c r="F177" s="29"/>
      <c r="G177" s="29"/>
      <c r="H177" s="28"/>
      <c r="I177" s="42"/>
    </row>
    <row r="178" spans="1:9" x14ac:dyDescent="0.3">
      <c r="A178" s="34" t="str">
        <f t="shared" si="4"/>
        <v/>
      </c>
      <c r="F178" s="29"/>
      <c r="G178" s="29"/>
      <c r="H178" s="28"/>
      <c r="I178" s="42"/>
    </row>
    <row r="179" spans="1:9" x14ac:dyDescent="0.3">
      <c r="A179" s="34" t="str">
        <f t="shared" si="4"/>
        <v/>
      </c>
      <c r="F179" s="29"/>
      <c r="G179" s="29"/>
      <c r="H179" s="28"/>
      <c r="I179" s="42"/>
    </row>
    <row r="180" spans="1:9" x14ac:dyDescent="0.3">
      <c r="A180" s="34" t="str">
        <f t="shared" si="4"/>
        <v/>
      </c>
      <c r="F180" s="29"/>
      <c r="G180" s="29"/>
      <c r="H180" s="28"/>
      <c r="I180" s="42"/>
    </row>
    <row r="181" spans="1:9" x14ac:dyDescent="0.3">
      <c r="A181" s="34" t="str">
        <f t="shared" si="4"/>
        <v/>
      </c>
      <c r="F181" s="29"/>
      <c r="G181" s="29"/>
      <c r="H181" s="28"/>
      <c r="I181" s="42"/>
    </row>
    <row r="182" spans="1:9" x14ac:dyDescent="0.3">
      <c r="A182" s="34" t="str">
        <f t="shared" si="4"/>
        <v/>
      </c>
      <c r="F182" s="29"/>
      <c r="G182" s="29"/>
      <c r="H182" s="28"/>
      <c r="I182" s="42"/>
    </row>
    <row r="183" spans="1:9" x14ac:dyDescent="0.3">
      <c r="A183" s="34" t="str">
        <f t="shared" si="4"/>
        <v/>
      </c>
      <c r="F183" s="29"/>
      <c r="G183" s="29"/>
      <c r="H183" s="28"/>
      <c r="I183" s="42"/>
    </row>
    <row r="184" spans="1:9" x14ac:dyDescent="0.3">
      <c r="A184" s="34" t="str">
        <f t="shared" si="4"/>
        <v/>
      </c>
      <c r="F184" s="29"/>
      <c r="G184" s="29"/>
      <c r="H184" s="28"/>
      <c r="I184" s="42"/>
    </row>
    <row r="185" spans="1:9" x14ac:dyDescent="0.3">
      <c r="A185" s="34" t="str">
        <f t="shared" si="4"/>
        <v/>
      </c>
      <c r="F185" s="29"/>
      <c r="G185" s="29"/>
      <c r="H185" s="28"/>
      <c r="I185" s="42"/>
    </row>
    <row r="186" spans="1:9" x14ac:dyDescent="0.3">
      <c r="A186" s="34" t="str">
        <f t="shared" si="4"/>
        <v/>
      </c>
      <c r="F186" s="29"/>
      <c r="G186" s="29"/>
      <c r="H186" s="28"/>
      <c r="I186" s="42"/>
    </row>
    <row r="187" spans="1:9" x14ac:dyDescent="0.3">
      <c r="A187" s="34" t="str">
        <f t="shared" si="4"/>
        <v/>
      </c>
      <c r="F187" s="29"/>
      <c r="G187" s="29"/>
      <c r="H187" s="28"/>
      <c r="I187" s="42"/>
    </row>
    <row r="188" spans="1:9" x14ac:dyDescent="0.3">
      <c r="A188" s="34" t="str">
        <f t="shared" si="4"/>
        <v/>
      </c>
      <c r="F188" s="29"/>
      <c r="G188" s="29"/>
      <c r="H188" s="28"/>
      <c r="I188" s="42"/>
    </row>
    <row r="189" spans="1:9" x14ac:dyDescent="0.3">
      <c r="A189" s="34" t="str">
        <f t="shared" si="4"/>
        <v/>
      </c>
      <c r="F189" s="29"/>
      <c r="G189" s="29"/>
      <c r="H189" s="28"/>
      <c r="I189" s="42"/>
    </row>
    <row r="190" spans="1:9" x14ac:dyDescent="0.3">
      <c r="A190" s="34" t="str">
        <f t="shared" si="4"/>
        <v/>
      </c>
      <c r="F190" s="29"/>
      <c r="G190" s="29"/>
      <c r="H190" s="28"/>
      <c r="I190" s="42"/>
    </row>
    <row r="191" spans="1:9" x14ac:dyDescent="0.3">
      <c r="A191" s="34" t="str">
        <f t="shared" si="4"/>
        <v/>
      </c>
      <c r="F191" s="29"/>
      <c r="G191" s="29"/>
      <c r="H191" s="28"/>
      <c r="I191" s="42"/>
    </row>
    <row r="192" spans="1:9" x14ac:dyDescent="0.3">
      <c r="A192" s="34" t="str">
        <f t="shared" si="4"/>
        <v/>
      </c>
      <c r="F192" s="29"/>
      <c r="G192" s="29"/>
      <c r="H192" s="28"/>
      <c r="I192" s="42"/>
    </row>
    <row r="193" spans="1:9" x14ac:dyDescent="0.3">
      <c r="A193" s="34" t="str">
        <f t="shared" si="4"/>
        <v/>
      </c>
      <c r="F193" s="29"/>
      <c r="G193" s="29"/>
      <c r="H193" s="28"/>
      <c r="I193" s="42"/>
    </row>
    <row r="194" spans="1:9" x14ac:dyDescent="0.3">
      <c r="A194" s="34" t="str">
        <f t="shared" si="4"/>
        <v/>
      </c>
      <c r="F194" s="29"/>
      <c r="G194" s="29"/>
      <c r="H194" s="28"/>
      <c r="I194" s="42"/>
    </row>
    <row r="195" spans="1:9" x14ac:dyDescent="0.3">
      <c r="A195" s="34" t="str">
        <f t="shared" si="4"/>
        <v/>
      </c>
      <c r="F195" s="29"/>
      <c r="G195" s="29"/>
      <c r="H195" s="28"/>
      <c r="I195" s="42"/>
    </row>
    <row r="196" spans="1:9" x14ac:dyDescent="0.3">
      <c r="A196" s="34" t="str">
        <f t="shared" si="4"/>
        <v/>
      </c>
      <c r="F196" s="29"/>
      <c r="G196" s="29"/>
      <c r="H196" s="28"/>
      <c r="I196" s="42"/>
    </row>
    <row r="197" spans="1:9" x14ac:dyDescent="0.3">
      <c r="A197" s="34" t="str">
        <f t="shared" si="4"/>
        <v/>
      </c>
      <c r="F197" s="29"/>
      <c r="G197" s="29"/>
      <c r="H197" s="28"/>
      <c r="I197" s="42"/>
    </row>
    <row r="198" spans="1:9" x14ac:dyDescent="0.3">
      <c r="A198" s="34" t="str">
        <f t="shared" si="4"/>
        <v/>
      </c>
      <c r="F198" s="29"/>
      <c r="G198" s="29"/>
      <c r="H198" s="28"/>
      <c r="I198" s="42"/>
    </row>
    <row r="199" spans="1:9" x14ac:dyDescent="0.3">
      <c r="A199" s="34" t="str">
        <f t="shared" si="4"/>
        <v/>
      </c>
      <c r="F199" s="29"/>
      <c r="G199" s="29"/>
      <c r="H199" s="28"/>
      <c r="I199" s="42"/>
    </row>
    <row r="200" spans="1:9" x14ac:dyDescent="0.3">
      <c r="A200" s="34" t="str">
        <f t="shared" si="4"/>
        <v/>
      </c>
      <c r="F200" s="29"/>
      <c r="G200" s="29"/>
      <c r="H200" s="28"/>
      <c r="I200" s="42"/>
    </row>
    <row r="201" spans="1:9" x14ac:dyDescent="0.3">
      <c r="A201" s="34" t="str">
        <f t="shared" si="4"/>
        <v/>
      </c>
      <c r="F201" s="29"/>
      <c r="G201" s="29"/>
      <c r="H201" s="28"/>
      <c r="I201" s="42"/>
    </row>
    <row r="202" spans="1:9" x14ac:dyDescent="0.3">
      <c r="A202" s="34" t="str">
        <f t="shared" si="4"/>
        <v/>
      </c>
      <c r="F202" s="29"/>
      <c r="G202" s="29"/>
      <c r="H202" s="28"/>
      <c r="I202" s="42"/>
    </row>
    <row r="203" spans="1:9" x14ac:dyDescent="0.3">
      <c r="A203" s="34" t="str">
        <f t="shared" si="4"/>
        <v/>
      </c>
      <c r="F203" s="29"/>
      <c r="G203" s="29"/>
      <c r="H203" s="28"/>
      <c r="I203" s="42"/>
    </row>
    <row r="204" spans="1:9" x14ac:dyDescent="0.3">
      <c r="A204" s="34" t="str">
        <f t="shared" si="4"/>
        <v/>
      </c>
      <c r="F204" s="29"/>
      <c r="G204" s="29"/>
      <c r="H204" s="28"/>
      <c r="I204" s="42"/>
    </row>
    <row r="205" spans="1:9" x14ac:dyDescent="0.3">
      <c r="A205" s="34" t="str">
        <f t="shared" si="4"/>
        <v/>
      </c>
      <c r="F205" s="29"/>
      <c r="G205" s="29"/>
      <c r="H205" s="28"/>
      <c r="I205" s="29"/>
    </row>
    <row r="206" spans="1:9" x14ac:dyDescent="0.3">
      <c r="A206" s="34" t="str">
        <f t="shared" si="4"/>
        <v/>
      </c>
      <c r="F206" s="29"/>
      <c r="G206" s="29"/>
      <c r="H206" s="28"/>
      <c r="I206" s="29"/>
    </row>
    <row r="207" spans="1:9" x14ac:dyDescent="0.3">
      <c r="A207" s="34" t="str">
        <f t="shared" ref="A207:A270" si="5">C207&amp;E207</f>
        <v/>
      </c>
      <c r="F207" s="29"/>
      <c r="G207" s="29"/>
      <c r="H207" s="28"/>
      <c r="I207" s="29"/>
    </row>
    <row r="208" spans="1:9" x14ac:dyDescent="0.3">
      <c r="A208" s="34" t="str">
        <f t="shared" si="5"/>
        <v/>
      </c>
      <c r="F208" s="29"/>
      <c r="G208" s="29"/>
      <c r="H208" s="28"/>
      <c r="I208" s="29"/>
    </row>
    <row r="209" spans="1:9" x14ac:dyDescent="0.3">
      <c r="A209" s="34" t="str">
        <f t="shared" si="5"/>
        <v/>
      </c>
      <c r="F209" s="29"/>
      <c r="G209" s="29"/>
      <c r="H209" s="28"/>
      <c r="I209" s="29"/>
    </row>
    <row r="210" spans="1:9" x14ac:dyDescent="0.3">
      <c r="A210" s="34" t="str">
        <f t="shared" si="5"/>
        <v/>
      </c>
      <c r="F210" s="29"/>
      <c r="G210" s="29"/>
      <c r="H210" s="28"/>
      <c r="I210" s="29"/>
    </row>
    <row r="211" spans="1:9" x14ac:dyDescent="0.3">
      <c r="A211" s="34" t="str">
        <f t="shared" si="5"/>
        <v/>
      </c>
      <c r="F211" s="29"/>
      <c r="G211" s="29"/>
      <c r="H211" s="28"/>
      <c r="I211" s="29"/>
    </row>
    <row r="212" spans="1:9" x14ac:dyDescent="0.3">
      <c r="A212" s="34" t="str">
        <f t="shared" si="5"/>
        <v/>
      </c>
      <c r="F212" s="29"/>
      <c r="G212" s="29"/>
      <c r="H212" s="28"/>
      <c r="I212" s="29"/>
    </row>
    <row r="213" spans="1:9" x14ac:dyDescent="0.3">
      <c r="A213" s="34" t="str">
        <f t="shared" si="5"/>
        <v/>
      </c>
      <c r="F213" s="29"/>
      <c r="G213" s="29"/>
      <c r="H213" s="28"/>
      <c r="I213" s="29"/>
    </row>
    <row r="214" spans="1:9" x14ac:dyDescent="0.3">
      <c r="A214" s="34" t="str">
        <f t="shared" si="5"/>
        <v/>
      </c>
      <c r="F214" s="29"/>
      <c r="G214" s="29"/>
      <c r="H214" s="28"/>
      <c r="I214" s="29"/>
    </row>
    <row r="215" spans="1:9" x14ac:dyDescent="0.3">
      <c r="A215" s="34" t="str">
        <f t="shared" si="5"/>
        <v/>
      </c>
      <c r="F215" s="29"/>
      <c r="G215" s="29"/>
      <c r="H215" s="28"/>
      <c r="I215" s="29"/>
    </row>
    <row r="216" spans="1:9" x14ac:dyDescent="0.3">
      <c r="A216" s="34" t="str">
        <f t="shared" si="5"/>
        <v/>
      </c>
      <c r="F216" s="29"/>
      <c r="G216" s="29"/>
      <c r="H216" s="28"/>
      <c r="I216" s="29"/>
    </row>
    <row r="217" spans="1:9" x14ac:dyDescent="0.3">
      <c r="A217" s="34" t="str">
        <f t="shared" si="5"/>
        <v/>
      </c>
      <c r="F217" s="29"/>
      <c r="G217" s="29"/>
      <c r="H217" s="28"/>
      <c r="I217" s="29"/>
    </row>
    <row r="218" spans="1:9" x14ac:dyDescent="0.3">
      <c r="A218" s="34" t="str">
        <f t="shared" si="5"/>
        <v/>
      </c>
      <c r="F218" s="29"/>
      <c r="G218" s="29"/>
      <c r="H218" s="28"/>
      <c r="I218" s="29"/>
    </row>
    <row r="219" spans="1:9" x14ac:dyDescent="0.3">
      <c r="A219" s="34" t="str">
        <f t="shared" si="5"/>
        <v/>
      </c>
      <c r="F219" s="29"/>
      <c r="G219" s="29"/>
      <c r="H219" s="28"/>
      <c r="I219" s="29"/>
    </row>
    <row r="220" spans="1:9" x14ac:dyDescent="0.3">
      <c r="A220" s="34" t="str">
        <f t="shared" si="5"/>
        <v/>
      </c>
      <c r="F220" s="29"/>
      <c r="G220" s="29"/>
      <c r="H220" s="28"/>
      <c r="I220" s="29"/>
    </row>
    <row r="221" spans="1:9" x14ac:dyDescent="0.3">
      <c r="A221" s="34" t="str">
        <f t="shared" si="5"/>
        <v/>
      </c>
      <c r="F221" s="29"/>
      <c r="G221" s="29"/>
      <c r="H221" s="28"/>
      <c r="I221" s="29"/>
    </row>
    <row r="222" spans="1:9" x14ac:dyDescent="0.3">
      <c r="A222" s="34" t="str">
        <f t="shared" si="5"/>
        <v/>
      </c>
      <c r="F222" s="29"/>
      <c r="G222" s="29"/>
      <c r="H222" s="28"/>
      <c r="I222" s="29"/>
    </row>
    <row r="223" spans="1:9" x14ac:dyDescent="0.3">
      <c r="A223" s="34" t="str">
        <f t="shared" si="5"/>
        <v/>
      </c>
      <c r="F223" s="29"/>
      <c r="G223" s="29"/>
      <c r="H223" s="28"/>
      <c r="I223" s="29"/>
    </row>
    <row r="224" spans="1:9" x14ac:dyDescent="0.3">
      <c r="A224" s="34" t="str">
        <f t="shared" si="5"/>
        <v/>
      </c>
      <c r="F224" s="29"/>
      <c r="G224" s="29"/>
      <c r="H224" s="28"/>
      <c r="I224" s="29"/>
    </row>
    <row r="225" spans="1:9" x14ac:dyDescent="0.3">
      <c r="A225" s="34" t="str">
        <f t="shared" si="5"/>
        <v/>
      </c>
      <c r="F225" s="29"/>
      <c r="G225" s="29"/>
      <c r="H225" s="28"/>
      <c r="I225" s="29"/>
    </row>
    <row r="226" spans="1:9" x14ac:dyDescent="0.3">
      <c r="A226" s="34" t="str">
        <f t="shared" si="5"/>
        <v/>
      </c>
      <c r="F226" s="29"/>
      <c r="G226" s="29"/>
      <c r="H226" s="28"/>
      <c r="I226" s="29"/>
    </row>
    <row r="227" spans="1:9" x14ac:dyDescent="0.3">
      <c r="A227" s="34" t="str">
        <f t="shared" si="5"/>
        <v/>
      </c>
      <c r="F227" s="29"/>
      <c r="G227" s="29"/>
      <c r="H227" s="28"/>
      <c r="I227" s="29"/>
    </row>
    <row r="228" spans="1:9" x14ac:dyDescent="0.3">
      <c r="A228" s="34" t="str">
        <f t="shared" si="5"/>
        <v/>
      </c>
      <c r="F228" s="29"/>
      <c r="G228" s="29"/>
      <c r="H228" s="28"/>
      <c r="I228" s="29"/>
    </row>
    <row r="229" spans="1:9" x14ac:dyDescent="0.3">
      <c r="A229" s="34" t="str">
        <f t="shared" si="5"/>
        <v/>
      </c>
      <c r="F229" s="29"/>
      <c r="G229" s="29"/>
      <c r="H229" s="28"/>
      <c r="I229" s="29"/>
    </row>
    <row r="230" spans="1:9" x14ac:dyDescent="0.3">
      <c r="A230" s="34" t="str">
        <f t="shared" si="5"/>
        <v/>
      </c>
      <c r="F230" s="29"/>
      <c r="G230" s="29"/>
      <c r="H230" s="28"/>
      <c r="I230" s="29"/>
    </row>
    <row r="231" spans="1:9" x14ac:dyDescent="0.3">
      <c r="A231" s="34" t="str">
        <f t="shared" si="5"/>
        <v/>
      </c>
      <c r="F231" s="29"/>
      <c r="G231" s="29"/>
      <c r="H231" s="28"/>
      <c r="I231" s="29"/>
    </row>
    <row r="232" spans="1:9" x14ac:dyDescent="0.3">
      <c r="A232" s="34" t="str">
        <f t="shared" si="5"/>
        <v/>
      </c>
      <c r="F232" s="29"/>
      <c r="G232" s="29"/>
      <c r="H232" s="28"/>
      <c r="I232" s="29"/>
    </row>
    <row r="233" spans="1:9" x14ac:dyDescent="0.3">
      <c r="A233" s="34" t="str">
        <f t="shared" si="5"/>
        <v/>
      </c>
      <c r="F233" s="29"/>
      <c r="G233" s="29"/>
      <c r="H233" s="28"/>
      <c r="I233" s="29"/>
    </row>
    <row r="234" spans="1:9" x14ac:dyDescent="0.3">
      <c r="A234" s="34" t="str">
        <f t="shared" si="5"/>
        <v/>
      </c>
      <c r="F234" s="29"/>
      <c r="G234" s="29"/>
      <c r="H234" s="28"/>
      <c r="I234" s="29"/>
    </row>
    <row r="235" spans="1:9" x14ac:dyDescent="0.3">
      <c r="A235" s="34" t="str">
        <f t="shared" si="5"/>
        <v/>
      </c>
      <c r="F235" s="29"/>
      <c r="G235" s="29"/>
      <c r="H235" s="28"/>
      <c r="I235" s="29"/>
    </row>
    <row r="236" spans="1:9" x14ac:dyDescent="0.3">
      <c r="A236" s="34" t="str">
        <f t="shared" si="5"/>
        <v/>
      </c>
      <c r="F236" s="29"/>
      <c r="G236" s="29"/>
      <c r="H236" s="28"/>
      <c r="I236" s="29"/>
    </row>
    <row r="237" spans="1:9" x14ac:dyDescent="0.3">
      <c r="A237" s="34" t="str">
        <f t="shared" si="5"/>
        <v/>
      </c>
      <c r="F237" s="29"/>
      <c r="G237" s="29"/>
      <c r="H237" s="28"/>
      <c r="I237" s="29"/>
    </row>
    <row r="238" spans="1:9" x14ac:dyDescent="0.3">
      <c r="A238" s="34" t="str">
        <f t="shared" si="5"/>
        <v/>
      </c>
      <c r="F238" s="29"/>
      <c r="G238" s="29"/>
      <c r="H238" s="28"/>
      <c r="I238" s="29"/>
    </row>
    <row r="239" spans="1:9" x14ac:dyDescent="0.3">
      <c r="A239" s="34" t="str">
        <f t="shared" si="5"/>
        <v/>
      </c>
      <c r="F239" s="29"/>
      <c r="G239" s="29"/>
      <c r="H239" s="28"/>
      <c r="I239" s="29"/>
    </row>
    <row r="240" spans="1:9" x14ac:dyDescent="0.3">
      <c r="A240" s="34" t="str">
        <f t="shared" si="5"/>
        <v/>
      </c>
      <c r="F240" s="29"/>
      <c r="G240" s="29"/>
      <c r="H240" s="28"/>
      <c r="I240" s="29"/>
    </row>
    <row r="241" spans="1:9" x14ac:dyDescent="0.3">
      <c r="A241" s="34" t="str">
        <f t="shared" si="5"/>
        <v/>
      </c>
      <c r="F241" s="29"/>
      <c r="G241" s="29"/>
      <c r="H241" s="28"/>
      <c r="I241" s="29"/>
    </row>
    <row r="242" spans="1:9" x14ac:dyDescent="0.3">
      <c r="A242" s="34" t="str">
        <f t="shared" si="5"/>
        <v/>
      </c>
      <c r="F242" s="29"/>
      <c r="G242" s="29"/>
      <c r="H242" s="28"/>
      <c r="I242" s="29"/>
    </row>
    <row r="243" spans="1:9" x14ac:dyDescent="0.3">
      <c r="A243" s="34" t="str">
        <f t="shared" si="5"/>
        <v/>
      </c>
      <c r="F243" s="29"/>
      <c r="G243" s="29"/>
      <c r="H243" s="28"/>
      <c r="I243" s="29"/>
    </row>
    <row r="244" spans="1:9" x14ac:dyDescent="0.3">
      <c r="A244" s="34" t="str">
        <f t="shared" si="5"/>
        <v/>
      </c>
      <c r="F244" s="29"/>
      <c r="G244" s="29"/>
      <c r="H244" s="28"/>
      <c r="I244" s="29"/>
    </row>
    <row r="245" spans="1:9" x14ac:dyDescent="0.3">
      <c r="A245" s="34" t="str">
        <f t="shared" si="5"/>
        <v/>
      </c>
      <c r="F245" s="29"/>
      <c r="G245" s="29"/>
      <c r="H245" s="28"/>
      <c r="I245" s="29"/>
    </row>
    <row r="246" spans="1:9" x14ac:dyDescent="0.3">
      <c r="A246" s="34" t="str">
        <f t="shared" si="5"/>
        <v/>
      </c>
      <c r="F246" s="29"/>
      <c r="G246" s="29"/>
      <c r="H246" s="28"/>
      <c r="I246" s="29"/>
    </row>
    <row r="247" spans="1:9" x14ac:dyDescent="0.3">
      <c r="A247" s="34" t="str">
        <f t="shared" si="5"/>
        <v/>
      </c>
      <c r="F247" s="29"/>
      <c r="G247" s="29"/>
      <c r="H247" s="28"/>
      <c r="I247" s="29"/>
    </row>
    <row r="248" spans="1:9" x14ac:dyDescent="0.3">
      <c r="A248" s="34" t="str">
        <f t="shared" si="5"/>
        <v/>
      </c>
      <c r="F248" s="29"/>
      <c r="G248" s="29"/>
      <c r="H248" s="28"/>
      <c r="I248" s="29"/>
    </row>
    <row r="249" spans="1:9" x14ac:dyDescent="0.3">
      <c r="A249" s="34" t="str">
        <f t="shared" si="5"/>
        <v/>
      </c>
      <c r="F249" s="29"/>
      <c r="G249" s="29"/>
      <c r="H249" s="28"/>
      <c r="I249" s="29"/>
    </row>
    <row r="250" spans="1:9" x14ac:dyDescent="0.3">
      <c r="A250" s="34" t="str">
        <f t="shared" si="5"/>
        <v/>
      </c>
      <c r="F250" s="29"/>
      <c r="G250" s="29"/>
      <c r="H250" s="28"/>
      <c r="I250" s="29"/>
    </row>
    <row r="251" spans="1:9" x14ac:dyDescent="0.3">
      <c r="A251" s="34" t="str">
        <f t="shared" si="5"/>
        <v/>
      </c>
      <c r="F251" s="29"/>
      <c r="G251" s="29"/>
      <c r="H251" s="28"/>
      <c r="I251" s="29"/>
    </row>
    <row r="252" spans="1:9" x14ac:dyDescent="0.3">
      <c r="A252" s="34" t="str">
        <f t="shared" si="5"/>
        <v/>
      </c>
      <c r="F252" s="29"/>
      <c r="G252" s="29"/>
      <c r="H252" s="28"/>
      <c r="I252" s="29"/>
    </row>
    <row r="253" spans="1:9" x14ac:dyDescent="0.3">
      <c r="A253" s="34" t="str">
        <f t="shared" si="5"/>
        <v/>
      </c>
      <c r="F253" s="29"/>
      <c r="G253" s="29"/>
      <c r="H253" s="28"/>
      <c r="I253" s="29"/>
    </row>
    <row r="254" spans="1:9" x14ac:dyDescent="0.3">
      <c r="A254" s="34" t="str">
        <f t="shared" si="5"/>
        <v/>
      </c>
      <c r="F254" s="29"/>
      <c r="G254" s="29"/>
      <c r="H254" s="28"/>
      <c r="I254" s="29"/>
    </row>
    <row r="255" spans="1:9" x14ac:dyDescent="0.3">
      <c r="A255" s="34" t="str">
        <f t="shared" si="5"/>
        <v/>
      </c>
      <c r="F255" s="29"/>
      <c r="G255" s="29"/>
      <c r="H255" s="28"/>
      <c r="I255" s="29"/>
    </row>
    <row r="256" spans="1:9" x14ac:dyDescent="0.3">
      <c r="A256" s="34" t="str">
        <f t="shared" si="5"/>
        <v/>
      </c>
      <c r="F256" s="29"/>
      <c r="G256" s="29"/>
      <c r="H256" s="28"/>
      <c r="I256" s="29"/>
    </row>
    <row r="257" spans="1:9" x14ac:dyDescent="0.3">
      <c r="A257" s="34" t="str">
        <f t="shared" si="5"/>
        <v/>
      </c>
      <c r="F257" s="29"/>
      <c r="G257" s="29"/>
      <c r="H257" s="28"/>
      <c r="I257" s="29"/>
    </row>
    <row r="258" spans="1:9" x14ac:dyDescent="0.3">
      <c r="A258" s="34" t="str">
        <f t="shared" si="5"/>
        <v/>
      </c>
      <c r="F258" s="29"/>
      <c r="G258" s="29"/>
      <c r="H258" s="28"/>
      <c r="I258" s="29"/>
    </row>
    <row r="259" spans="1:9" x14ac:dyDescent="0.3">
      <c r="A259" s="34" t="str">
        <f t="shared" si="5"/>
        <v/>
      </c>
      <c r="F259" s="29"/>
      <c r="G259" s="29"/>
      <c r="H259" s="28"/>
      <c r="I259" s="29"/>
    </row>
    <row r="260" spans="1:9" x14ac:dyDescent="0.3">
      <c r="A260" s="34" t="str">
        <f t="shared" si="5"/>
        <v/>
      </c>
      <c r="F260" s="29"/>
      <c r="G260" s="29"/>
      <c r="H260" s="28"/>
      <c r="I260" s="29"/>
    </row>
    <row r="261" spans="1:9" x14ac:dyDescent="0.3">
      <c r="A261" s="34" t="str">
        <f t="shared" si="5"/>
        <v/>
      </c>
      <c r="F261" s="29"/>
      <c r="G261" s="29"/>
      <c r="H261" s="28"/>
      <c r="I261" s="29"/>
    </row>
    <row r="262" spans="1:9" x14ac:dyDescent="0.3">
      <c r="A262" s="34" t="str">
        <f t="shared" si="5"/>
        <v/>
      </c>
      <c r="F262" s="29"/>
      <c r="G262" s="29"/>
      <c r="H262" s="28"/>
      <c r="I262" s="29"/>
    </row>
    <row r="263" spans="1:9" x14ac:dyDescent="0.3">
      <c r="A263" s="34" t="str">
        <f t="shared" si="5"/>
        <v/>
      </c>
      <c r="F263" s="29"/>
      <c r="G263" s="29"/>
      <c r="H263" s="28"/>
      <c r="I263" s="29"/>
    </row>
    <row r="264" spans="1:9" x14ac:dyDescent="0.3">
      <c r="A264" s="34" t="str">
        <f t="shared" si="5"/>
        <v/>
      </c>
      <c r="F264" s="29"/>
      <c r="G264" s="29"/>
      <c r="H264" s="28"/>
      <c r="I264" s="29"/>
    </row>
    <row r="265" spans="1:9" x14ac:dyDescent="0.3">
      <c r="A265" s="34" t="str">
        <f t="shared" si="5"/>
        <v/>
      </c>
      <c r="F265" s="29"/>
      <c r="G265" s="29"/>
      <c r="H265" s="28"/>
      <c r="I265" s="29"/>
    </row>
    <row r="266" spans="1:9" x14ac:dyDescent="0.3">
      <c r="A266" s="34" t="str">
        <f t="shared" si="5"/>
        <v/>
      </c>
      <c r="F266" s="29"/>
      <c r="G266" s="29"/>
      <c r="H266" s="28"/>
      <c r="I266" s="29"/>
    </row>
    <row r="267" spans="1:9" x14ac:dyDescent="0.3">
      <c r="A267" s="34" t="str">
        <f t="shared" si="5"/>
        <v/>
      </c>
      <c r="F267" s="29"/>
      <c r="G267" s="29"/>
      <c r="H267" s="28"/>
      <c r="I267" s="29"/>
    </row>
    <row r="268" spans="1:9" x14ac:dyDescent="0.3">
      <c r="A268" s="34" t="str">
        <f t="shared" si="5"/>
        <v/>
      </c>
      <c r="F268" s="29"/>
      <c r="G268" s="29"/>
      <c r="H268" s="28"/>
      <c r="I268" s="29"/>
    </row>
    <row r="269" spans="1:9" x14ac:dyDescent="0.3">
      <c r="A269" s="34" t="str">
        <f t="shared" si="5"/>
        <v/>
      </c>
      <c r="F269" s="29"/>
      <c r="G269" s="29"/>
      <c r="H269" s="28"/>
      <c r="I269" s="29"/>
    </row>
    <row r="270" spans="1:9" x14ac:dyDescent="0.3">
      <c r="A270" s="34" t="str">
        <f t="shared" si="5"/>
        <v/>
      </c>
      <c r="F270" s="29"/>
      <c r="G270" s="29"/>
      <c r="H270" s="28"/>
      <c r="I270" s="29"/>
    </row>
    <row r="271" spans="1:9" x14ac:dyDescent="0.3">
      <c r="A271" s="34" t="str">
        <f t="shared" ref="A271:A334" si="6">C271&amp;E271</f>
        <v/>
      </c>
      <c r="F271" s="29"/>
      <c r="G271" s="29"/>
      <c r="H271" s="28"/>
      <c r="I271" s="29"/>
    </row>
    <row r="272" spans="1:9" x14ac:dyDescent="0.3">
      <c r="A272" s="34" t="str">
        <f t="shared" si="6"/>
        <v/>
      </c>
      <c r="F272" s="29"/>
      <c r="G272" s="29"/>
      <c r="H272" s="28"/>
      <c r="I272" s="29"/>
    </row>
    <row r="273" spans="1:9" x14ac:dyDescent="0.3">
      <c r="A273" s="34" t="str">
        <f t="shared" si="6"/>
        <v/>
      </c>
      <c r="F273" s="29"/>
      <c r="G273" s="29"/>
      <c r="H273" s="28"/>
      <c r="I273" s="29"/>
    </row>
    <row r="274" spans="1:9" x14ac:dyDescent="0.3">
      <c r="A274" s="34" t="str">
        <f t="shared" si="6"/>
        <v/>
      </c>
      <c r="F274" s="29"/>
      <c r="G274" s="29"/>
      <c r="H274" s="28"/>
      <c r="I274" s="29"/>
    </row>
    <row r="275" spans="1:9" x14ac:dyDescent="0.3">
      <c r="A275" s="34" t="str">
        <f t="shared" si="6"/>
        <v/>
      </c>
      <c r="F275" s="29"/>
      <c r="G275" s="29"/>
      <c r="H275" s="28"/>
      <c r="I275" s="29"/>
    </row>
    <row r="276" spans="1:9" x14ac:dyDescent="0.3">
      <c r="A276" s="34" t="str">
        <f t="shared" si="6"/>
        <v/>
      </c>
      <c r="F276" s="29"/>
      <c r="G276" s="29"/>
      <c r="H276" s="28"/>
      <c r="I276" s="29"/>
    </row>
    <row r="277" spans="1:9" x14ac:dyDescent="0.3">
      <c r="A277" s="34" t="str">
        <f t="shared" si="6"/>
        <v/>
      </c>
      <c r="F277" s="29"/>
      <c r="G277" s="29"/>
      <c r="H277" s="28"/>
      <c r="I277" s="29"/>
    </row>
    <row r="278" spans="1:9" x14ac:dyDescent="0.3">
      <c r="A278" s="34" t="str">
        <f t="shared" si="6"/>
        <v/>
      </c>
      <c r="F278" s="29"/>
      <c r="G278" s="29"/>
      <c r="H278" s="28"/>
      <c r="I278" s="29"/>
    </row>
    <row r="279" spans="1:9" x14ac:dyDescent="0.3">
      <c r="A279" s="34" t="str">
        <f t="shared" si="6"/>
        <v/>
      </c>
      <c r="F279" s="29"/>
      <c r="G279" s="29"/>
      <c r="H279" s="28"/>
      <c r="I279" s="29"/>
    </row>
    <row r="280" spans="1:9" x14ac:dyDescent="0.3">
      <c r="A280" s="34" t="str">
        <f t="shared" si="6"/>
        <v/>
      </c>
      <c r="F280" s="29"/>
      <c r="G280" s="29"/>
      <c r="H280" s="28"/>
      <c r="I280" s="29"/>
    </row>
    <row r="281" spans="1:9" x14ac:dyDescent="0.3">
      <c r="A281" s="34" t="str">
        <f t="shared" si="6"/>
        <v/>
      </c>
      <c r="F281" s="29"/>
      <c r="G281" s="29"/>
      <c r="H281" s="28"/>
      <c r="I281" s="29"/>
    </row>
    <row r="282" spans="1:9" x14ac:dyDescent="0.3">
      <c r="A282" s="34" t="str">
        <f t="shared" si="6"/>
        <v/>
      </c>
      <c r="F282" s="29"/>
      <c r="G282" s="29"/>
      <c r="H282" s="28"/>
      <c r="I282" s="29"/>
    </row>
    <row r="283" spans="1:9" x14ac:dyDescent="0.3">
      <c r="A283" s="34" t="str">
        <f t="shared" si="6"/>
        <v/>
      </c>
      <c r="F283" s="29"/>
      <c r="G283" s="29"/>
      <c r="H283" s="28"/>
      <c r="I283" s="29"/>
    </row>
    <row r="284" spans="1:9" x14ac:dyDescent="0.3">
      <c r="A284" s="34" t="str">
        <f t="shared" si="6"/>
        <v/>
      </c>
      <c r="F284" s="29"/>
      <c r="G284" s="29"/>
      <c r="H284" s="28"/>
      <c r="I284" s="29"/>
    </row>
    <row r="285" spans="1:9" x14ac:dyDescent="0.3">
      <c r="A285" s="34" t="str">
        <f t="shared" si="6"/>
        <v/>
      </c>
      <c r="F285" s="29"/>
      <c r="G285" s="29"/>
      <c r="H285" s="28"/>
      <c r="I285" s="29"/>
    </row>
    <row r="286" spans="1:9" x14ac:dyDescent="0.3">
      <c r="A286" s="34" t="str">
        <f t="shared" si="6"/>
        <v/>
      </c>
      <c r="F286" s="29"/>
      <c r="G286" s="29"/>
      <c r="H286" s="28"/>
      <c r="I286" s="29"/>
    </row>
    <row r="287" spans="1:9" x14ac:dyDescent="0.3">
      <c r="A287" s="34" t="str">
        <f t="shared" si="6"/>
        <v/>
      </c>
      <c r="F287" s="29"/>
      <c r="G287" s="29"/>
      <c r="H287" s="28"/>
      <c r="I287" s="29"/>
    </row>
    <row r="288" spans="1:9" x14ac:dyDescent="0.3">
      <c r="A288" s="34" t="str">
        <f t="shared" si="6"/>
        <v/>
      </c>
      <c r="F288" s="29"/>
      <c r="G288" s="29"/>
      <c r="H288" s="28"/>
      <c r="I288" s="29"/>
    </row>
    <row r="289" spans="1:9" x14ac:dyDescent="0.3">
      <c r="A289" s="34" t="str">
        <f t="shared" si="6"/>
        <v/>
      </c>
      <c r="F289" s="29"/>
      <c r="G289" s="29"/>
      <c r="H289" s="28"/>
      <c r="I289" s="29"/>
    </row>
    <row r="290" spans="1:9" x14ac:dyDescent="0.3">
      <c r="A290" s="34" t="str">
        <f t="shared" si="6"/>
        <v/>
      </c>
      <c r="F290" s="29"/>
      <c r="G290" s="29"/>
      <c r="H290" s="28"/>
      <c r="I290" s="29"/>
    </row>
    <row r="291" spans="1:9" x14ac:dyDescent="0.3">
      <c r="A291" s="34" t="str">
        <f t="shared" si="6"/>
        <v/>
      </c>
      <c r="F291" s="29"/>
      <c r="G291" s="29"/>
      <c r="H291" s="28"/>
      <c r="I291" s="29"/>
    </row>
    <row r="292" spans="1:9" x14ac:dyDescent="0.3">
      <c r="A292" s="34" t="str">
        <f t="shared" si="6"/>
        <v/>
      </c>
      <c r="F292" s="29"/>
      <c r="G292" s="29"/>
      <c r="H292" s="28"/>
      <c r="I292" s="29"/>
    </row>
    <row r="293" spans="1:9" x14ac:dyDescent="0.3">
      <c r="A293" s="34" t="str">
        <f t="shared" si="6"/>
        <v/>
      </c>
      <c r="F293" s="29"/>
      <c r="G293" s="29"/>
      <c r="H293" s="28"/>
      <c r="I293" s="29"/>
    </row>
    <row r="294" spans="1:9" x14ac:dyDescent="0.3">
      <c r="A294" s="34" t="str">
        <f t="shared" si="6"/>
        <v/>
      </c>
      <c r="F294" s="29"/>
      <c r="G294" s="29"/>
      <c r="H294" s="28"/>
      <c r="I294" s="29"/>
    </row>
    <row r="295" spans="1:9" x14ac:dyDescent="0.3">
      <c r="A295" s="34" t="str">
        <f t="shared" si="6"/>
        <v/>
      </c>
      <c r="F295" s="29"/>
      <c r="G295" s="29"/>
      <c r="H295" s="28"/>
      <c r="I295" s="29"/>
    </row>
    <row r="296" spans="1:9" x14ac:dyDescent="0.3">
      <c r="A296" s="34" t="str">
        <f t="shared" si="6"/>
        <v/>
      </c>
      <c r="F296" s="29"/>
      <c r="G296" s="29"/>
      <c r="H296" s="28"/>
      <c r="I296" s="29"/>
    </row>
    <row r="297" spans="1:9" x14ac:dyDescent="0.3">
      <c r="A297" s="34" t="str">
        <f t="shared" si="6"/>
        <v/>
      </c>
      <c r="F297" s="29"/>
      <c r="G297" s="29"/>
      <c r="H297" s="28"/>
      <c r="I297" s="29"/>
    </row>
    <row r="298" spans="1:9" x14ac:dyDescent="0.3">
      <c r="A298" s="34" t="str">
        <f t="shared" si="6"/>
        <v/>
      </c>
      <c r="F298" s="29"/>
      <c r="G298" s="29"/>
      <c r="H298" s="28"/>
      <c r="I298" s="29"/>
    </row>
    <row r="299" spans="1:9" x14ac:dyDescent="0.3">
      <c r="A299" s="34" t="str">
        <f t="shared" si="6"/>
        <v/>
      </c>
      <c r="F299" s="29"/>
      <c r="G299" s="29"/>
      <c r="H299" s="28"/>
      <c r="I299" s="29"/>
    </row>
    <row r="300" spans="1:9" x14ac:dyDescent="0.3">
      <c r="A300" s="34" t="str">
        <f t="shared" si="6"/>
        <v/>
      </c>
      <c r="F300" s="29"/>
      <c r="G300" s="29"/>
      <c r="H300" s="28"/>
      <c r="I300" s="29"/>
    </row>
    <row r="301" spans="1:9" x14ac:dyDescent="0.3">
      <c r="A301" s="34" t="str">
        <f t="shared" si="6"/>
        <v/>
      </c>
      <c r="F301" s="29"/>
      <c r="G301" s="29"/>
      <c r="H301" s="28"/>
      <c r="I301" s="29"/>
    </row>
    <row r="302" spans="1:9" x14ac:dyDescent="0.3">
      <c r="A302" s="34" t="str">
        <f t="shared" si="6"/>
        <v/>
      </c>
      <c r="F302" s="29"/>
      <c r="G302" s="29"/>
      <c r="H302" s="28"/>
      <c r="I302" s="29"/>
    </row>
    <row r="303" spans="1:9" x14ac:dyDescent="0.3">
      <c r="A303" s="34" t="str">
        <f t="shared" si="6"/>
        <v/>
      </c>
      <c r="F303" s="29"/>
      <c r="G303" s="29"/>
      <c r="H303" s="28"/>
      <c r="I303" s="29"/>
    </row>
    <row r="304" spans="1:9" x14ac:dyDescent="0.3">
      <c r="A304" s="34" t="str">
        <f t="shared" si="6"/>
        <v/>
      </c>
      <c r="F304" s="29"/>
      <c r="G304" s="29"/>
      <c r="H304" s="28"/>
      <c r="I304" s="29"/>
    </row>
    <row r="305" spans="1:9" x14ac:dyDescent="0.3">
      <c r="A305" s="34" t="str">
        <f t="shared" si="6"/>
        <v/>
      </c>
      <c r="F305" s="29"/>
      <c r="G305" s="29"/>
      <c r="H305" s="28"/>
      <c r="I305" s="29"/>
    </row>
    <row r="306" spans="1:9" x14ac:dyDescent="0.3">
      <c r="A306" s="34" t="str">
        <f t="shared" si="6"/>
        <v/>
      </c>
      <c r="F306" s="29"/>
      <c r="G306" s="29"/>
      <c r="H306" s="28"/>
      <c r="I306" s="29"/>
    </row>
    <row r="307" spans="1:9" x14ac:dyDescent="0.3">
      <c r="A307" s="34" t="str">
        <f t="shared" si="6"/>
        <v/>
      </c>
      <c r="F307" s="29"/>
      <c r="G307" s="29"/>
      <c r="H307" s="28"/>
      <c r="I307" s="29"/>
    </row>
    <row r="308" spans="1:9" x14ac:dyDescent="0.3">
      <c r="A308" s="34" t="str">
        <f t="shared" si="6"/>
        <v/>
      </c>
      <c r="F308" s="29"/>
      <c r="G308" s="29"/>
      <c r="H308" s="28"/>
      <c r="I308" s="29"/>
    </row>
    <row r="309" spans="1:9" x14ac:dyDescent="0.3">
      <c r="A309" s="34" t="str">
        <f t="shared" si="6"/>
        <v/>
      </c>
      <c r="F309" s="29"/>
      <c r="G309" s="29"/>
      <c r="H309" s="28"/>
      <c r="I309" s="29"/>
    </row>
    <row r="310" spans="1:9" x14ac:dyDescent="0.3">
      <c r="A310" s="34" t="str">
        <f t="shared" si="6"/>
        <v/>
      </c>
      <c r="F310" s="29"/>
      <c r="G310" s="29"/>
      <c r="H310" s="28"/>
      <c r="I310" s="29"/>
    </row>
    <row r="311" spans="1:9" x14ac:dyDescent="0.3">
      <c r="A311" s="34" t="str">
        <f t="shared" si="6"/>
        <v/>
      </c>
      <c r="F311" s="29"/>
      <c r="G311" s="29"/>
      <c r="H311" s="28"/>
      <c r="I311" s="29"/>
    </row>
    <row r="312" spans="1:9" x14ac:dyDescent="0.3">
      <c r="A312" s="34" t="str">
        <f t="shared" si="6"/>
        <v/>
      </c>
      <c r="F312" s="29"/>
      <c r="G312" s="29"/>
      <c r="H312" s="28"/>
      <c r="I312" s="29"/>
    </row>
    <row r="313" spans="1:9" x14ac:dyDescent="0.3">
      <c r="A313" s="34" t="str">
        <f t="shared" si="6"/>
        <v/>
      </c>
      <c r="F313" s="29"/>
      <c r="G313" s="29"/>
      <c r="H313" s="28"/>
      <c r="I313" s="29"/>
    </row>
    <row r="314" spans="1:9" x14ac:dyDescent="0.3">
      <c r="A314" s="34" t="str">
        <f t="shared" si="6"/>
        <v/>
      </c>
      <c r="F314" s="29"/>
      <c r="G314" s="29"/>
      <c r="H314" s="28"/>
      <c r="I314" s="29"/>
    </row>
    <row r="315" spans="1:9" x14ac:dyDescent="0.3">
      <c r="A315" s="34" t="str">
        <f t="shared" si="6"/>
        <v/>
      </c>
      <c r="F315" s="29"/>
      <c r="G315" s="29"/>
      <c r="H315" s="28"/>
      <c r="I315" s="29"/>
    </row>
    <row r="316" spans="1:9" x14ac:dyDescent="0.3">
      <c r="A316" s="34" t="str">
        <f t="shared" si="6"/>
        <v/>
      </c>
      <c r="F316" s="29"/>
      <c r="G316" s="29"/>
      <c r="H316" s="28"/>
      <c r="I316" s="29"/>
    </row>
    <row r="317" spans="1:9" x14ac:dyDescent="0.3">
      <c r="A317" s="34" t="str">
        <f t="shared" si="6"/>
        <v/>
      </c>
      <c r="F317" s="29"/>
      <c r="G317" s="29"/>
      <c r="H317" s="28"/>
      <c r="I317" s="29"/>
    </row>
    <row r="318" spans="1:9" x14ac:dyDescent="0.3">
      <c r="A318" s="34" t="str">
        <f t="shared" si="6"/>
        <v/>
      </c>
      <c r="F318" s="29"/>
      <c r="G318" s="29"/>
      <c r="H318" s="28"/>
      <c r="I318" s="29"/>
    </row>
    <row r="319" spans="1:9" x14ac:dyDescent="0.3">
      <c r="A319" s="34" t="str">
        <f t="shared" si="6"/>
        <v/>
      </c>
      <c r="F319" s="29"/>
      <c r="G319" s="29"/>
      <c r="H319" s="28"/>
      <c r="I319" s="29"/>
    </row>
    <row r="320" spans="1:9" x14ac:dyDescent="0.3">
      <c r="A320" s="34" t="str">
        <f t="shared" si="6"/>
        <v/>
      </c>
      <c r="F320" s="29"/>
      <c r="G320" s="29"/>
      <c r="H320" s="28"/>
      <c r="I320" s="29"/>
    </row>
    <row r="321" spans="1:9" x14ac:dyDescent="0.3">
      <c r="A321" s="34" t="str">
        <f t="shared" si="6"/>
        <v/>
      </c>
      <c r="F321" s="29"/>
      <c r="G321" s="29"/>
      <c r="H321" s="28"/>
      <c r="I321" s="29"/>
    </row>
    <row r="322" spans="1:9" x14ac:dyDescent="0.3">
      <c r="A322" s="34" t="str">
        <f t="shared" si="6"/>
        <v/>
      </c>
      <c r="F322" s="29"/>
      <c r="G322" s="29"/>
      <c r="H322" s="28"/>
      <c r="I322" s="29"/>
    </row>
    <row r="323" spans="1:9" x14ac:dyDescent="0.3">
      <c r="A323" s="34" t="str">
        <f t="shared" si="6"/>
        <v/>
      </c>
      <c r="F323" s="29"/>
      <c r="G323" s="29"/>
      <c r="H323" s="28"/>
      <c r="I323" s="29"/>
    </row>
    <row r="324" spans="1:9" x14ac:dyDescent="0.3">
      <c r="A324" s="34" t="str">
        <f t="shared" si="6"/>
        <v/>
      </c>
      <c r="F324" s="29"/>
      <c r="G324" s="29"/>
      <c r="H324" s="28"/>
      <c r="I324" s="29"/>
    </row>
    <row r="325" spans="1:9" x14ac:dyDescent="0.3">
      <c r="A325" s="34" t="str">
        <f t="shared" si="6"/>
        <v/>
      </c>
      <c r="F325" s="29"/>
      <c r="G325" s="29"/>
      <c r="H325" s="28"/>
      <c r="I325" s="29"/>
    </row>
    <row r="326" spans="1:9" x14ac:dyDescent="0.3">
      <c r="A326" s="34" t="str">
        <f t="shared" si="6"/>
        <v/>
      </c>
      <c r="F326" s="29"/>
      <c r="G326" s="29"/>
      <c r="H326" s="28"/>
      <c r="I326" s="29"/>
    </row>
    <row r="327" spans="1:9" x14ac:dyDescent="0.3">
      <c r="A327" s="34" t="str">
        <f t="shared" si="6"/>
        <v/>
      </c>
      <c r="F327" s="29"/>
      <c r="G327" s="29"/>
      <c r="H327" s="28"/>
      <c r="I327" s="29"/>
    </row>
    <row r="328" spans="1:9" x14ac:dyDescent="0.3">
      <c r="A328" s="34" t="str">
        <f t="shared" si="6"/>
        <v/>
      </c>
      <c r="F328" s="29"/>
      <c r="G328" s="29"/>
      <c r="H328" s="28"/>
      <c r="I328" s="29"/>
    </row>
    <row r="329" spans="1:9" x14ac:dyDescent="0.3">
      <c r="A329" s="34" t="str">
        <f t="shared" si="6"/>
        <v/>
      </c>
      <c r="F329" s="29"/>
      <c r="G329" s="29"/>
      <c r="H329" s="28"/>
      <c r="I329" s="29"/>
    </row>
    <row r="330" spans="1:9" x14ac:dyDescent="0.3">
      <c r="A330" s="34" t="str">
        <f t="shared" si="6"/>
        <v/>
      </c>
      <c r="F330" s="29"/>
      <c r="G330" s="29"/>
      <c r="H330" s="28"/>
      <c r="I330" s="29"/>
    </row>
    <row r="331" spans="1:9" x14ac:dyDescent="0.3">
      <c r="A331" s="34" t="str">
        <f t="shared" si="6"/>
        <v/>
      </c>
      <c r="F331" s="29"/>
      <c r="G331" s="29"/>
      <c r="H331" s="28"/>
      <c r="I331" s="29"/>
    </row>
    <row r="332" spans="1:9" x14ac:dyDescent="0.3">
      <c r="A332" s="34" t="str">
        <f t="shared" si="6"/>
        <v/>
      </c>
      <c r="F332" s="29"/>
      <c r="G332" s="29"/>
      <c r="H332" s="28"/>
      <c r="I332" s="29"/>
    </row>
    <row r="333" spans="1:9" x14ac:dyDescent="0.3">
      <c r="A333" s="34" t="str">
        <f t="shared" si="6"/>
        <v/>
      </c>
      <c r="F333" s="29"/>
      <c r="G333" s="29"/>
      <c r="H333" s="28"/>
      <c r="I333" s="29"/>
    </row>
    <row r="334" spans="1:9" x14ac:dyDescent="0.3">
      <c r="A334" s="34" t="str">
        <f t="shared" si="6"/>
        <v/>
      </c>
      <c r="F334" s="29"/>
      <c r="G334" s="29"/>
      <c r="H334" s="28"/>
      <c r="I334" s="29"/>
    </row>
    <row r="335" spans="1:9" x14ac:dyDescent="0.3">
      <c r="A335" s="34" t="str">
        <f t="shared" ref="A335:A398" si="7">C335&amp;E335</f>
        <v/>
      </c>
      <c r="F335" s="29"/>
      <c r="G335" s="29"/>
      <c r="H335" s="28"/>
      <c r="I335" s="29"/>
    </row>
    <row r="336" spans="1:9" x14ac:dyDescent="0.3">
      <c r="A336" s="34" t="str">
        <f t="shared" si="7"/>
        <v/>
      </c>
      <c r="F336" s="29"/>
      <c r="G336" s="29"/>
      <c r="H336" s="28"/>
      <c r="I336" s="29"/>
    </row>
    <row r="337" spans="1:9" x14ac:dyDescent="0.3">
      <c r="A337" s="34" t="str">
        <f t="shared" si="7"/>
        <v/>
      </c>
      <c r="F337" s="29"/>
      <c r="G337" s="29"/>
      <c r="H337" s="28"/>
      <c r="I337" s="29"/>
    </row>
    <row r="338" spans="1:9" x14ac:dyDescent="0.3">
      <c r="A338" s="34" t="str">
        <f t="shared" si="7"/>
        <v/>
      </c>
      <c r="F338" s="29"/>
      <c r="G338" s="29"/>
      <c r="H338" s="28"/>
      <c r="I338" s="29"/>
    </row>
    <row r="339" spans="1:9" x14ac:dyDescent="0.3">
      <c r="A339" s="34" t="str">
        <f t="shared" si="7"/>
        <v/>
      </c>
      <c r="F339" s="29"/>
      <c r="G339" s="29"/>
      <c r="H339" s="28"/>
      <c r="I339" s="29"/>
    </row>
    <row r="340" spans="1:9" x14ac:dyDescent="0.3">
      <c r="A340" s="34" t="str">
        <f t="shared" si="7"/>
        <v/>
      </c>
      <c r="F340" s="29"/>
      <c r="G340" s="29"/>
      <c r="H340" s="28"/>
      <c r="I340" s="29"/>
    </row>
    <row r="341" spans="1:9" x14ac:dyDescent="0.3">
      <c r="A341" s="34" t="str">
        <f t="shared" si="7"/>
        <v/>
      </c>
      <c r="F341" s="29"/>
      <c r="G341" s="29"/>
      <c r="H341" s="28"/>
      <c r="I341" s="29"/>
    </row>
    <row r="342" spans="1:9" x14ac:dyDescent="0.3">
      <c r="A342" s="34" t="str">
        <f t="shared" si="7"/>
        <v/>
      </c>
      <c r="F342" s="29"/>
      <c r="G342" s="29"/>
      <c r="H342" s="28"/>
      <c r="I342" s="29"/>
    </row>
    <row r="343" spans="1:9" x14ac:dyDescent="0.3">
      <c r="A343" s="34" t="str">
        <f t="shared" si="7"/>
        <v/>
      </c>
      <c r="F343" s="29"/>
      <c r="G343" s="29"/>
      <c r="H343" s="28"/>
      <c r="I343" s="29"/>
    </row>
    <row r="344" spans="1:9" x14ac:dyDescent="0.3">
      <c r="A344" s="34" t="str">
        <f t="shared" si="7"/>
        <v/>
      </c>
      <c r="F344" s="29"/>
      <c r="G344" s="29"/>
      <c r="H344" s="28"/>
      <c r="I344" s="29"/>
    </row>
    <row r="345" spans="1:9" x14ac:dyDescent="0.3">
      <c r="A345" s="34" t="str">
        <f t="shared" si="7"/>
        <v/>
      </c>
      <c r="F345" s="29"/>
      <c r="G345" s="29"/>
      <c r="H345" s="28"/>
      <c r="I345" s="29"/>
    </row>
    <row r="346" spans="1:9" x14ac:dyDescent="0.3">
      <c r="A346" s="34" t="str">
        <f t="shared" si="7"/>
        <v/>
      </c>
      <c r="F346" s="29"/>
      <c r="G346" s="29"/>
      <c r="H346" s="28"/>
      <c r="I346" s="29"/>
    </row>
    <row r="347" spans="1:9" x14ac:dyDescent="0.3">
      <c r="A347" s="34" t="str">
        <f t="shared" si="7"/>
        <v/>
      </c>
      <c r="F347" s="29"/>
      <c r="G347" s="29"/>
      <c r="H347" s="28"/>
      <c r="I347" s="29"/>
    </row>
    <row r="348" spans="1:9" x14ac:dyDescent="0.3">
      <c r="A348" s="34" t="str">
        <f t="shared" si="7"/>
        <v/>
      </c>
      <c r="F348" s="29"/>
      <c r="G348" s="29"/>
      <c r="H348" s="28"/>
      <c r="I348" s="29"/>
    </row>
    <row r="349" spans="1:9" x14ac:dyDescent="0.3">
      <c r="A349" s="34" t="str">
        <f t="shared" si="7"/>
        <v/>
      </c>
      <c r="F349" s="29"/>
      <c r="G349" s="29"/>
      <c r="H349" s="28"/>
      <c r="I349" s="29"/>
    </row>
    <row r="350" spans="1:9" x14ac:dyDescent="0.3">
      <c r="A350" s="34" t="str">
        <f t="shared" si="7"/>
        <v/>
      </c>
      <c r="F350" s="29"/>
      <c r="G350" s="29"/>
      <c r="H350" s="28"/>
      <c r="I350" s="29"/>
    </row>
    <row r="351" spans="1:9" x14ac:dyDescent="0.3">
      <c r="A351" s="34" t="str">
        <f t="shared" si="7"/>
        <v/>
      </c>
      <c r="F351" s="29"/>
      <c r="G351" s="29"/>
      <c r="H351" s="28"/>
      <c r="I351" s="29"/>
    </row>
    <row r="352" spans="1:9" x14ac:dyDescent="0.3">
      <c r="A352" s="34" t="str">
        <f t="shared" si="7"/>
        <v/>
      </c>
      <c r="F352" s="29"/>
      <c r="G352" s="29"/>
      <c r="H352" s="28"/>
      <c r="I352" s="29"/>
    </row>
    <row r="353" spans="1:9" x14ac:dyDescent="0.3">
      <c r="A353" s="34" t="str">
        <f t="shared" si="7"/>
        <v/>
      </c>
      <c r="F353" s="29"/>
      <c r="G353" s="29"/>
      <c r="H353" s="28"/>
      <c r="I353" s="29"/>
    </row>
    <row r="354" spans="1:9" x14ac:dyDescent="0.3">
      <c r="A354" s="34" t="str">
        <f t="shared" si="7"/>
        <v/>
      </c>
      <c r="F354" s="29"/>
      <c r="G354" s="29"/>
      <c r="H354" s="28"/>
      <c r="I354" s="29"/>
    </row>
    <row r="355" spans="1:9" x14ac:dyDescent="0.3">
      <c r="A355" s="34" t="str">
        <f t="shared" si="7"/>
        <v/>
      </c>
      <c r="F355" s="29"/>
      <c r="G355" s="29"/>
      <c r="H355" s="28"/>
      <c r="I355" s="29"/>
    </row>
    <row r="356" spans="1:9" x14ac:dyDescent="0.3">
      <c r="A356" s="34" t="str">
        <f t="shared" si="7"/>
        <v/>
      </c>
      <c r="F356" s="29"/>
      <c r="G356" s="29"/>
      <c r="H356" s="28"/>
      <c r="I356" s="29"/>
    </row>
    <row r="357" spans="1:9" x14ac:dyDescent="0.3">
      <c r="A357" s="34" t="str">
        <f t="shared" si="7"/>
        <v/>
      </c>
      <c r="F357" s="29"/>
      <c r="G357" s="29"/>
      <c r="H357" s="28"/>
      <c r="I357" s="29"/>
    </row>
    <row r="358" spans="1:9" x14ac:dyDescent="0.3">
      <c r="A358" s="34" t="str">
        <f t="shared" si="7"/>
        <v/>
      </c>
      <c r="F358" s="29"/>
      <c r="G358" s="29"/>
      <c r="H358" s="28"/>
      <c r="I358" s="29"/>
    </row>
    <row r="359" spans="1:9" x14ac:dyDescent="0.3">
      <c r="A359" s="34" t="str">
        <f t="shared" si="7"/>
        <v/>
      </c>
      <c r="F359" s="29"/>
      <c r="G359" s="29"/>
      <c r="H359" s="28"/>
      <c r="I359" s="29"/>
    </row>
    <row r="360" spans="1:9" x14ac:dyDescent="0.3">
      <c r="A360" s="34" t="str">
        <f t="shared" si="7"/>
        <v/>
      </c>
      <c r="F360" s="29"/>
      <c r="G360" s="29"/>
      <c r="H360" s="28"/>
      <c r="I360" s="29"/>
    </row>
    <row r="361" spans="1:9" x14ac:dyDescent="0.3">
      <c r="A361" s="34" t="str">
        <f t="shared" si="7"/>
        <v/>
      </c>
      <c r="F361" s="29"/>
      <c r="G361" s="29"/>
      <c r="H361" s="28"/>
      <c r="I361" s="29"/>
    </row>
    <row r="362" spans="1:9" x14ac:dyDescent="0.3">
      <c r="A362" s="34" t="str">
        <f t="shared" si="7"/>
        <v/>
      </c>
      <c r="F362" s="29"/>
      <c r="G362" s="29"/>
      <c r="H362" s="28"/>
      <c r="I362" s="29"/>
    </row>
    <row r="363" spans="1:9" x14ac:dyDescent="0.3">
      <c r="A363" s="34" t="str">
        <f t="shared" si="7"/>
        <v/>
      </c>
      <c r="F363" s="29"/>
      <c r="G363" s="29"/>
      <c r="H363" s="28"/>
      <c r="I363" s="29"/>
    </row>
    <row r="364" spans="1:9" x14ac:dyDescent="0.3">
      <c r="A364" s="34" t="str">
        <f t="shared" si="7"/>
        <v/>
      </c>
      <c r="F364" s="29"/>
      <c r="G364" s="29"/>
      <c r="H364" s="28"/>
      <c r="I364" s="29"/>
    </row>
    <row r="365" spans="1:9" x14ac:dyDescent="0.3">
      <c r="A365" s="34" t="str">
        <f t="shared" si="7"/>
        <v/>
      </c>
      <c r="F365" s="29"/>
      <c r="G365" s="29"/>
      <c r="H365" s="28"/>
      <c r="I365" s="29"/>
    </row>
    <row r="366" spans="1:9" x14ac:dyDescent="0.3">
      <c r="A366" s="34" t="str">
        <f t="shared" si="7"/>
        <v/>
      </c>
      <c r="F366" s="29"/>
      <c r="G366" s="29"/>
      <c r="H366" s="28"/>
      <c r="I366" s="29"/>
    </row>
    <row r="367" spans="1:9" x14ac:dyDescent="0.3">
      <c r="A367" s="34" t="str">
        <f t="shared" si="7"/>
        <v/>
      </c>
      <c r="F367" s="29"/>
      <c r="G367" s="29"/>
      <c r="H367" s="28"/>
      <c r="I367" s="29"/>
    </row>
    <row r="368" spans="1:9" x14ac:dyDescent="0.3">
      <c r="A368" s="34" t="str">
        <f t="shared" si="7"/>
        <v/>
      </c>
      <c r="F368" s="29"/>
      <c r="G368" s="29"/>
      <c r="H368" s="28"/>
      <c r="I368" s="29"/>
    </row>
    <row r="369" spans="1:9" x14ac:dyDescent="0.3">
      <c r="A369" s="34" t="str">
        <f t="shared" si="7"/>
        <v/>
      </c>
      <c r="F369" s="29"/>
      <c r="G369" s="29"/>
      <c r="H369" s="28"/>
      <c r="I369" s="29"/>
    </row>
    <row r="370" spans="1:9" x14ac:dyDescent="0.3">
      <c r="A370" s="34" t="str">
        <f t="shared" si="7"/>
        <v/>
      </c>
      <c r="F370" s="29"/>
      <c r="G370" s="29"/>
      <c r="H370" s="28"/>
      <c r="I370" s="29"/>
    </row>
    <row r="371" spans="1:9" x14ac:dyDescent="0.3">
      <c r="A371" s="34" t="str">
        <f t="shared" si="7"/>
        <v/>
      </c>
      <c r="F371" s="29"/>
      <c r="G371" s="29"/>
      <c r="H371" s="28"/>
      <c r="I371" s="29"/>
    </row>
    <row r="372" spans="1:9" x14ac:dyDescent="0.3">
      <c r="A372" s="34" t="str">
        <f t="shared" si="7"/>
        <v/>
      </c>
      <c r="F372" s="29"/>
      <c r="G372" s="29"/>
      <c r="H372" s="28"/>
      <c r="I372" s="29"/>
    </row>
    <row r="373" spans="1:9" x14ac:dyDescent="0.3">
      <c r="A373" s="34" t="str">
        <f t="shared" si="7"/>
        <v/>
      </c>
      <c r="F373" s="29"/>
      <c r="G373" s="29"/>
      <c r="H373" s="28"/>
      <c r="I373" s="29"/>
    </row>
    <row r="374" spans="1:9" x14ac:dyDescent="0.3">
      <c r="A374" s="34" t="str">
        <f t="shared" si="7"/>
        <v/>
      </c>
      <c r="F374" s="29"/>
      <c r="G374" s="29"/>
      <c r="H374" s="28"/>
      <c r="I374" s="29"/>
    </row>
    <row r="375" spans="1:9" x14ac:dyDescent="0.3">
      <c r="A375" s="34" t="str">
        <f t="shared" si="7"/>
        <v/>
      </c>
      <c r="F375" s="29"/>
      <c r="G375" s="29"/>
      <c r="H375" s="28"/>
      <c r="I375" s="29"/>
    </row>
    <row r="376" spans="1:9" x14ac:dyDescent="0.3">
      <c r="A376" s="34" t="str">
        <f t="shared" si="7"/>
        <v/>
      </c>
      <c r="F376" s="29"/>
      <c r="G376" s="29"/>
      <c r="H376" s="28"/>
      <c r="I376" s="29"/>
    </row>
    <row r="377" spans="1:9" x14ac:dyDescent="0.3">
      <c r="A377" s="34" t="str">
        <f t="shared" si="7"/>
        <v/>
      </c>
      <c r="F377" s="29"/>
      <c r="G377" s="29"/>
      <c r="H377" s="28"/>
      <c r="I377" s="29"/>
    </row>
    <row r="378" spans="1:9" x14ac:dyDescent="0.3">
      <c r="A378" s="34" t="str">
        <f t="shared" si="7"/>
        <v/>
      </c>
      <c r="F378" s="29"/>
      <c r="G378" s="29"/>
      <c r="H378" s="28"/>
      <c r="I378" s="29"/>
    </row>
    <row r="379" spans="1:9" x14ac:dyDescent="0.3">
      <c r="A379" s="34" t="str">
        <f t="shared" si="7"/>
        <v/>
      </c>
      <c r="F379" s="29"/>
      <c r="G379" s="29"/>
      <c r="H379" s="28"/>
      <c r="I379" s="29"/>
    </row>
    <row r="380" spans="1:9" x14ac:dyDescent="0.3">
      <c r="A380" s="34" t="str">
        <f t="shared" si="7"/>
        <v/>
      </c>
      <c r="F380" s="29"/>
      <c r="G380" s="29"/>
      <c r="H380" s="28"/>
      <c r="I380" s="29"/>
    </row>
    <row r="381" spans="1:9" x14ac:dyDescent="0.3">
      <c r="A381" s="34" t="str">
        <f t="shared" si="7"/>
        <v/>
      </c>
      <c r="F381" s="29"/>
      <c r="G381" s="29"/>
      <c r="H381" s="28"/>
      <c r="I381" s="29"/>
    </row>
    <row r="382" spans="1:9" x14ac:dyDescent="0.3">
      <c r="A382" s="34" t="str">
        <f t="shared" si="7"/>
        <v/>
      </c>
      <c r="F382" s="29"/>
      <c r="G382" s="29"/>
      <c r="H382" s="28"/>
      <c r="I382" s="29"/>
    </row>
    <row r="383" spans="1:9" x14ac:dyDescent="0.3">
      <c r="A383" s="34" t="str">
        <f t="shared" si="7"/>
        <v/>
      </c>
      <c r="F383" s="29"/>
      <c r="G383" s="29"/>
      <c r="H383" s="28"/>
      <c r="I383" s="29"/>
    </row>
    <row r="384" spans="1:9" x14ac:dyDescent="0.3">
      <c r="A384" s="34" t="str">
        <f t="shared" si="7"/>
        <v/>
      </c>
      <c r="F384" s="29"/>
      <c r="G384" s="29"/>
      <c r="H384" s="28"/>
      <c r="I384" s="29"/>
    </row>
    <row r="385" spans="1:9" x14ac:dyDescent="0.3">
      <c r="A385" s="34" t="str">
        <f t="shared" si="7"/>
        <v/>
      </c>
      <c r="F385" s="29"/>
      <c r="G385" s="29"/>
      <c r="H385" s="28"/>
      <c r="I385" s="29"/>
    </row>
    <row r="386" spans="1:9" x14ac:dyDescent="0.3">
      <c r="A386" s="34" t="str">
        <f t="shared" si="7"/>
        <v/>
      </c>
      <c r="F386" s="29"/>
      <c r="G386" s="29"/>
      <c r="H386" s="28"/>
      <c r="I386" s="29"/>
    </row>
    <row r="387" spans="1:9" x14ac:dyDescent="0.3">
      <c r="A387" s="34" t="str">
        <f t="shared" si="7"/>
        <v/>
      </c>
      <c r="F387" s="29"/>
      <c r="G387" s="29"/>
      <c r="H387" s="28"/>
      <c r="I387" s="29"/>
    </row>
    <row r="388" spans="1:9" x14ac:dyDescent="0.3">
      <c r="A388" s="34" t="str">
        <f t="shared" si="7"/>
        <v/>
      </c>
      <c r="F388" s="29"/>
      <c r="G388" s="29"/>
      <c r="H388" s="28"/>
      <c r="I388" s="29"/>
    </row>
    <row r="389" spans="1:9" x14ac:dyDescent="0.3">
      <c r="A389" s="34" t="str">
        <f t="shared" si="7"/>
        <v/>
      </c>
      <c r="F389" s="29"/>
      <c r="G389" s="29"/>
      <c r="H389" s="28"/>
      <c r="I389" s="29"/>
    </row>
    <row r="390" spans="1:9" x14ac:dyDescent="0.3">
      <c r="A390" s="34" t="str">
        <f t="shared" si="7"/>
        <v/>
      </c>
      <c r="F390" s="29"/>
      <c r="G390" s="29"/>
      <c r="H390" s="28"/>
      <c r="I390" s="29"/>
    </row>
    <row r="391" spans="1:9" x14ac:dyDescent="0.3">
      <c r="A391" s="34" t="str">
        <f t="shared" si="7"/>
        <v/>
      </c>
      <c r="F391" s="29"/>
      <c r="G391" s="29"/>
      <c r="H391" s="28"/>
      <c r="I391" s="29"/>
    </row>
    <row r="392" spans="1:9" x14ac:dyDescent="0.3">
      <c r="A392" s="34" t="str">
        <f t="shared" si="7"/>
        <v/>
      </c>
      <c r="F392" s="29"/>
      <c r="G392" s="29"/>
      <c r="H392" s="28"/>
      <c r="I392" s="29"/>
    </row>
    <row r="393" spans="1:9" x14ac:dyDescent="0.3">
      <c r="A393" s="34" t="str">
        <f t="shared" si="7"/>
        <v/>
      </c>
      <c r="F393" s="29"/>
      <c r="G393" s="29"/>
      <c r="H393" s="28"/>
      <c r="I393" s="29"/>
    </row>
    <row r="394" spans="1:9" x14ac:dyDescent="0.3">
      <c r="A394" s="34" t="str">
        <f t="shared" si="7"/>
        <v/>
      </c>
      <c r="F394" s="29"/>
      <c r="G394" s="29"/>
      <c r="H394" s="28"/>
      <c r="I394" s="29"/>
    </row>
    <row r="395" spans="1:9" x14ac:dyDescent="0.3">
      <c r="A395" s="34" t="str">
        <f t="shared" si="7"/>
        <v/>
      </c>
      <c r="F395" s="29"/>
      <c r="G395" s="29"/>
      <c r="H395" s="28"/>
      <c r="I395" s="29"/>
    </row>
    <row r="396" spans="1:9" x14ac:dyDescent="0.3">
      <c r="A396" s="34" t="str">
        <f t="shared" si="7"/>
        <v/>
      </c>
      <c r="F396" s="29"/>
      <c r="G396" s="29"/>
      <c r="H396" s="28"/>
      <c r="I396" s="29"/>
    </row>
    <row r="397" spans="1:9" x14ac:dyDescent="0.3">
      <c r="A397" s="34" t="str">
        <f t="shared" si="7"/>
        <v/>
      </c>
      <c r="F397" s="29"/>
      <c r="G397" s="29"/>
      <c r="H397" s="28"/>
      <c r="I397" s="29"/>
    </row>
    <row r="398" spans="1:9" x14ac:dyDescent="0.3">
      <c r="A398" s="34" t="str">
        <f t="shared" si="7"/>
        <v/>
      </c>
      <c r="F398" s="29"/>
      <c r="G398" s="29"/>
      <c r="H398" s="28"/>
      <c r="I398" s="29"/>
    </row>
    <row r="399" spans="1:9" x14ac:dyDescent="0.3">
      <c r="A399" s="34" t="str">
        <f t="shared" ref="A399:A462" si="8">C399&amp;E399</f>
        <v/>
      </c>
      <c r="F399" s="29"/>
      <c r="G399" s="29"/>
      <c r="H399" s="28"/>
      <c r="I399" s="29"/>
    </row>
    <row r="400" spans="1:9" x14ac:dyDescent="0.3">
      <c r="A400" s="34" t="str">
        <f t="shared" si="8"/>
        <v/>
      </c>
      <c r="F400" s="29"/>
      <c r="G400" s="29"/>
      <c r="H400" s="28"/>
      <c r="I400" s="29"/>
    </row>
    <row r="401" spans="1:9" x14ac:dyDescent="0.3">
      <c r="A401" s="34" t="str">
        <f t="shared" si="8"/>
        <v/>
      </c>
      <c r="F401" s="29"/>
      <c r="G401" s="29"/>
      <c r="H401" s="28"/>
      <c r="I401" s="29"/>
    </row>
    <row r="402" spans="1:9" x14ac:dyDescent="0.3">
      <c r="A402" s="34" t="str">
        <f t="shared" si="8"/>
        <v/>
      </c>
      <c r="F402" s="29"/>
      <c r="G402" s="29"/>
      <c r="H402" s="28"/>
      <c r="I402" s="29"/>
    </row>
    <row r="403" spans="1:9" x14ac:dyDescent="0.3">
      <c r="A403" s="34" t="str">
        <f t="shared" si="8"/>
        <v/>
      </c>
      <c r="F403" s="29"/>
      <c r="G403" s="29"/>
      <c r="H403" s="28"/>
      <c r="I403" s="29"/>
    </row>
    <row r="404" spans="1:9" x14ac:dyDescent="0.3">
      <c r="A404" s="34" t="str">
        <f t="shared" si="8"/>
        <v/>
      </c>
      <c r="F404" s="29"/>
      <c r="G404" s="29"/>
      <c r="H404" s="28"/>
      <c r="I404" s="29"/>
    </row>
    <row r="405" spans="1:9" x14ac:dyDescent="0.3">
      <c r="A405" s="34" t="str">
        <f t="shared" si="8"/>
        <v/>
      </c>
      <c r="F405" s="29"/>
      <c r="G405" s="29"/>
      <c r="H405" s="28"/>
      <c r="I405" s="29"/>
    </row>
    <row r="406" spans="1:9" x14ac:dyDescent="0.3">
      <c r="A406" s="34" t="str">
        <f t="shared" si="8"/>
        <v/>
      </c>
      <c r="F406" s="29"/>
      <c r="G406" s="29"/>
      <c r="H406" s="28"/>
      <c r="I406" s="29"/>
    </row>
    <row r="407" spans="1:9" x14ac:dyDescent="0.3">
      <c r="A407" s="34" t="str">
        <f t="shared" si="8"/>
        <v/>
      </c>
      <c r="F407" s="29"/>
      <c r="G407" s="29"/>
      <c r="H407" s="28"/>
      <c r="I407" s="29"/>
    </row>
    <row r="408" spans="1:9" x14ac:dyDescent="0.3">
      <c r="A408" s="34" t="str">
        <f t="shared" si="8"/>
        <v/>
      </c>
      <c r="F408" s="29"/>
      <c r="G408" s="29"/>
      <c r="H408" s="28"/>
      <c r="I408" s="29"/>
    </row>
    <row r="409" spans="1:9" x14ac:dyDescent="0.3">
      <c r="A409" s="34" t="str">
        <f t="shared" si="8"/>
        <v/>
      </c>
      <c r="F409" s="29"/>
      <c r="G409" s="29"/>
      <c r="H409" s="28"/>
      <c r="I409" s="29"/>
    </row>
    <row r="410" spans="1:9" x14ac:dyDescent="0.3">
      <c r="A410" s="34" t="str">
        <f t="shared" si="8"/>
        <v/>
      </c>
      <c r="F410" s="29"/>
      <c r="G410" s="29"/>
      <c r="H410" s="28"/>
      <c r="I410" s="29"/>
    </row>
    <row r="411" spans="1:9" x14ac:dyDescent="0.3">
      <c r="A411" s="34" t="str">
        <f t="shared" si="8"/>
        <v/>
      </c>
      <c r="F411" s="29"/>
      <c r="G411" s="29"/>
      <c r="H411" s="28"/>
      <c r="I411" s="29"/>
    </row>
    <row r="412" spans="1:9" x14ac:dyDescent="0.3">
      <c r="A412" s="34" t="str">
        <f t="shared" si="8"/>
        <v/>
      </c>
      <c r="F412" s="29"/>
      <c r="G412" s="29"/>
      <c r="H412" s="28"/>
      <c r="I412" s="29"/>
    </row>
    <row r="413" spans="1:9" x14ac:dyDescent="0.3">
      <c r="A413" s="34" t="str">
        <f t="shared" si="8"/>
        <v/>
      </c>
      <c r="F413" s="29"/>
      <c r="G413" s="29"/>
      <c r="H413" s="28"/>
      <c r="I413" s="29"/>
    </row>
    <row r="414" spans="1:9" x14ac:dyDescent="0.3">
      <c r="A414" s="34" t="str">
        <f t="shared" si="8"/>
        <v/>
      </c>
      <c r="F414" s="29"/>
      <c r="G414" s="29"/>
      <c r="H414" s="28"/>
      <c r="I414" s="29"/>
    </row>
    <row r="415" spans="1:9" x14ac:dyDescent="0.3">
      <c r="A415" s="34" t="str">
        <f t="shared" si="8"/>
        <v/>
      </c>
      <c r="F415" s="29"/>
      <c r="G415" s="29"/>
      <c r="H415" s="28"/>
      <c r="I415" s="29"/>
    </row>
    <row r="416" spans="1:9" x14ac:dyDescent="0.3">
      <c r="A416" s="34" t="str">
        <f t="shared" si="8"/>
        <v/>
      </c>
      <c r="F416" s="29"/>
      <c r="G416" s="29"/>
      <c r="H416" s="28"/>
      <c r="I416" s="29"/>
    </row>
    <row r="417" spans="1:9" x14ac:dyDescent="0.3">
      <c r="A417" s="34" t="str">
        <f t="shared" si="8"/>
        <v/>
      </c>
      <c r="F417" s="29"/>
      <c r="G417" s="29"/>
      <c r="H417" s="28"/>
      <c r="I417" s="29"/>
    </row>
    <row r="418" spans="1:9" x14ac:dyDescent="0.3">
      <c r="A418" s="34" t="str">
        <f t="shared" si="8"/>
        <v/>
      </c>
      <c r="F418" s="29"/>
      <c r="G418" s="29"/>
      <c r="H418" s="28"/>
      <c r="I418" s="29"/>
    </row>
    <row r="419" spans="1:9" x14ac:dyDescent="0.3">
      <c r="A419" s="34" t="str">
        <f t="shared" si="8"/>
        <v/>
      </c>
      <c r="F419" s="29"/>
      <c r="G419" s="29"/>
      <c r="H419" s="28"/>
      <c r="I419" s="29"/>
    </row>
    <row r="420" spans="1:9" x14ac:dyDescent="0.3">
      <c r="A420" s="34" t="str">
        <f t="shared" si="8"/>
        <v/>
      </c>
      <c r="F420" s="29"/>
      <c r="G420" s="29"/>
      <c r="H420" s="28"/>
      <c r="I420" s="29"/>
    </row>
    <row r="421" spans="1:9" x14ac:dyDescent="0.3">
      <c r="A421" s="34" t="str">
        <f t="shared" si="8"/>
        <v/>
      </c>
      <c r="F421" s="29"/>
      <c r="G421" s="29"/>
      <c r="H421" s="28"/>
      <c r="I421" s="29"/>
    </row>
    <row r="422" spans="1:9" x14ac:dyDescent="0.3">
      <c r="A422" s="34" t="str">
        <f t="shared" si="8"/>
        <v/>
      </c>
      <c r="F422" s="29"/>
      <c r="G422" s="29"/>
      <c r="H422" s="28"/>
      <c r="I422" s="29"/>
    </row>
    <row r="423" spans="1:9" x14ac:dyDescent="0.3">
      <c r="A423" s="34" t="str">
        <f t="shared" si="8"/>
        <v/>
      </c>
      <c r="F423" s="29"/>
      <c r="G423" s="29"/>
      <c r="H423" s="28"/>
      <c r="I423" s="29"/>
    </row>
    <row r="424" spans="1:9" x14ac:dyDescent="0.3">
      <c r="A424" s="34" t="str">
        <f t="shared" si="8"/>
        <v/>
      </c>
      <c r="F424" s="29"/>
      <c r="G424" s="29"/>
      <c r="H424" s="28"/>
      <c r="I424" s="29"/>
    </row>
    <row r="425" spans="1:9" x14ac:dyDescent="0.3">
      <c r="A425" s="34" t="str">
        <f t="shared" si="8"/>
        <v/>
      </c>
      <c r="F425" s="29"/>
      <c r="G425" s="29"/>
      <c r="H425" s="28"/>
      <c r="I425" s="29"/>
    </row>
    <row r="426" spans="1:9" x14ac:dyDescent="0.3">
      <c r="A426" s="34" t="str">
        <f t="shared" si="8"/>
        <v/>
      </c>
      <c r="F426" s="29"/>
      <c r="G426" s="29"/>
      <c r="H426" s="28"/>
      <c r="I426" s="29"/>
    </row>
    <row r="427" spans="1:9" x14ac:dyDescent="0.3">
      <c r="A427" s="34" t="str">
        <f t="shared" si="8"/>
        <v/>
      </c>
      <c r="F427" s="29"/>
      <c r="G427" s="29"/>
      <c r="H427" s="28"/>
      <c r="I427" s="29"/>
    </row>
    <row r="428" spans="1:9" x14ac:dyDescent="0.3">
      <c r="A428" s="34" t="str">
        <f t="shared" si="8"/>
        <v/>
      </c>
      <c r="F428" s="29"/>
      <c r="G428" s="29"/>
      <c r="H428" s="28"/>
      <c r="I428" s="29"/>
    </row>
    <row r="429" spans="1:9" x14ac:dyDescent="0.3">
      <c r="A429" s="34" t="str">
        <f t="shared" si="8"/>
        <v/>
      </c>
      <c r="F429" s="29"/>
      <c r="G429" s="29"/>
      <c r="H429" s="28"/>
      <c r="I429" s="29"/>
    </row>
    <row r="430" spans="1:9" x14ac:dyDescent="0.3">
      <c r="A430" s="34" t="str">
        <f t="shared" si="8"/>
        <v/>
      </c>
      <c r="F430" s="29"/>
      <c r="G430" s="29"/>
      <c r="H430" s="28"/>
      <c r="I430" s="29"/>
    </row>
    <row r="431" spans="1:9" x14ac:dyDescent="0.3">
      <c r="A431" s="34" t="str">
        <f t="shared" si="8"/>
        <v/>
      </c>
      <c r="F431" s="29"/>
      <c r="G431" s="29"/>
      <c r="H431" s="28"/>
      <c r="I431" s="29"/>
    </row>
    <row r="432" spans="1:9" x14ac:dyDescent="0.3">
      <c r="A432" s="34" t="str">
        <f t="shared" si="8"/>
        <v/>
      </c>
      <c r="F432" s="29"/>
      <c r="G432" s="29"/>
      <c r="H432" s="28"/>
      <c r="I432" s="29"/>
    </row>
    <row r="433" spans="1:9" x14ac:dyDescent="0.3">
      <c r="A433" s="34" t="str">
        <f t="shared" si="8"/>
        <v/>
      </c>
      <c r="F433" s="29"/>
      <c r="G433" s="29"/>
      <c r="H433" s="28"/>
      <c r="I433" s="29"/>
    </row>
    <row r="434" spans="1:9" x14ac:dyDescent="0.3">
      <c r="A434" s="34" t="str">
        <f t="shared" si="8"/>
        <v/>
      </c>
      <c r="F434" s="29"/>
      <c r="G434" s="29"/>
      <c r="H434" s="28"/>
      <c r="I434" s="29"/>
    </row>
    <row r="435" spans="1:9" x14ac:dyDescent="0.3">
      <c r="A435" s="34" t="str">
        <f t="shared" si="8"/>
        <v/>
      </c>
      <c r="F435" s="29"/>
      <c r="G435" s="29"/>
      <c r="H435" s="28"/>
      <c r="I435" s="29"/>
    </row>
    <row r="436" spans="1:9" x14ac:dyDescent="0.3">
      <c r="A436" s="34" t="str">
        <f t="shared" si="8"/>
        <v/>
      </c>
      <c r="F436" s="29"/>
      <c r="G436" s="29"/>
      <c r="H436" s="28"/>
      <c r="I436" s="29"/>
    </row>
    <row r="437" spans="1:9" x14ac:dyDescent="0.3">
      <c r="A437" s="34" t="str">
        <f t="shared" si="8"/>
        <v/>
      </c>
      <c r="F437" s="29"/>
      <c r="G437" s="29"/>
      <c r="H437" s="28"/>
      <c r="I437" s="29"/>
    </row>
    <row r="438" spans="1:9" x14ac:dyDescent="0.3">
      <c r="A438" s="34" t="str">
        <f t="shared" si="8"/>
        <v/>
      </c>
      <c r="F438" s="29"/>
      <c r="G438" s="29"/>
      <c r="H438" s="28"/>
      <c r="I438" s="29"/>
    </row>
    <row r="439" spans="1:9" x14ac:dyDescent="0.3">
      <c r="A439" s="34" t="str">
        <f t="shared" si="8"/>
        <v/>
      </c>
      <c r="F439" s="29"/>
      <c r="G439" s="29"/>
      <c r="H439" s="28"/>
      <c r="I439" s="29"/>
    </row>
    <row r="440" spans="1:9" x14ac:dyDescent="0.3">
      <c r="A440" s="34" t="str">
        <f t="shared" si="8"/>
        <v/>
      </c>
      <c r="F440" s="29"/>
      <c r="G440" s="29"/>
      <c r="H440" s="28"/>
      <c r="I440" s="29"/>
    </row>
    <row r="441" spans="1:9" x14ac:dyDescent="0.3">
      <c r="A441" s="34" t="str">
        <f t="shared" si="8"/>
        <v/>
      </c>
      <c r="F441" s="29"/>
      <c r="G441" s="29"/>
      <c r="H441" s="28"/>
      <c r="I441" s="29"/>
    </row>
    <row r="442" spans="1:9" x14ac:dyDescent="0.3">
      <c r="A442" s="34" t="str">
        <f t="shared" si="8"/>
        <v/>
      </c>
      <c r="F442" s="29"/>
      <c r="G442" s="29"/>
      <c r="H442" s="28"/>
      <c r="I442" s="29"/>
    </row>
    <row r="443" spans="1:9" x14ac:dyDescent="0.3">
      <c r="A443" s="34" t="str">
        <f t="shared" si="8"/>
        <v/>
      </c>
      <c r="F443" s="29"/>
      <c r="G443" s="29"/>
      <c r="H443" s="28"/>
      <c r="I443" s="29"/>
    </row>
    <row r="444" spans="1:9" x14ac:dyDescent="0.3">
      <c r="A444" s="34" t="str">
        <f t="shared" si="8"/>
        <v/>
      </c>
      <c r="F444" s="29"/>
      <c r="G444" s="29"/>
      <c r="H444" s="28"/>
      <c r="I444" s="29"/>
    </row>
    <row r="445" spans="1:9" x14ac:dyDescent="0.3">
      <c r="A445" s="34" t="str">
        <f t="shared" si="8"/>
        <v/>
      </c>
      <c r="F445" s="29"/>
      <c r="G445" s="29"/>
      <c r="H445" s="28"/>
      <c r="I445" s="29"/>
    </row>
    <row r="446" spans="1:9" x14ac:dyDescent="0.3">
      <c r="A446" s="34" t="str">
        <f t="shared" si="8"/>
        <v/>
      </c>
      <c r="F446" s="29"/>
      <c r="G446" s="29"/>
      <c r="H446" s="28"/>
      <c r="I446" s="29"/>
    </row>
    <row r="447" spans="1:9" x14ac:dyDescent="0.3">
      <c r="A447" s="34" t="str">
        <f t="shared" si="8"/>
        <v/>
      </c>
      <c r="F447" s="29"/>
      <c r="G447" s="29"/>
      <c r="H447" s="28"/>
      <c r="I447" s="29"/>
    </row>
    <row r="448" spans="1:9" x14ac:dyDescent="0.3">
      <c r="A448" s="34" t="str">
        <f t="shared" si="8"/>
        <v/>
      </c>
      <c r="F448" s="29"/>
      <c r="G448" s="29"/>
      <c r="H448" s="28"/>
      <c r="I448" s="29"/>
    </row>
    <row r="449" spans="1:9" x14ac:dyDescent="0.3">
      <c r="A449" s="34" t="str">
        <f t="shared" si="8"/>
        <v/>
      </c>
      <c r="F449" s="29"/>
      <c r="G449" s="29"/>
      <c r="H449" s="28"/>
      <c r="I449" s="29"/>
    </row>
    <row r="450" spans="1:9" x14ac:dyDescent="0.3">
      <c r="A450" s="34" t="str">
        <f t="shared" si="8"/>
        <v/>
      </c>
      <c r="F450" s="29"/>
      <c r="G450" s="29"/>
      <c r="H450" s="28"/>
      <c r="I450" s="29"/>
    </row>
    <row r="451" spans="1:9" x14ac:dyDescent="0.3">
      <c r="A451" s="34" t="str">
        <f t="shared" si="8"/>
        <v/>
      </c>
      <c r="F451" s="29"/>
      <c r="G451" s="29"/>
      <c r="H451" s="28"/>
      <c r="I451" s="29"/>
    </row>
    <row r="452" spans="1:9" x14ac:dyDescent="0.3">
      <c r="A452" s="34" t="str">
        <f t="shared" si="8"/>
        <v/>
      </c>
      <c r="F452" s="29"/>
      <c r="G452" s="29"/>
      <c r="H452" s="28"/>
      <c r="I452" s="29"/>
    </row>
    <row r="453" spans="1:9" x14ac:dyDescent="0.3">
      <c r="A453" s="34" t="str">
        <f t="shared" si="8"/>
        <v/>
      </c>
      <c r="F453" s="29"/>
      <c r="G453" s="29"/>
      <c r="H453" s="28"/>
      <c r="I453" s="29"/>
    </row>
    <row r="454" spans="1:9" x14ac:dyDescent="0.3">
      <c r="A454" s="34" t="str">
        <f t="shared" si="8"/>
        <v/>
      </c>
      <c r="F454" s="29"/>
      <c r="G454" s="29"/>
      <c r="H454" s="28"/>
      <c r="I454" s="29"/>
    </row>
    <row r="455" spans="1:9" x14ac:dyDescent="0.3">
      <c r="A455" s="34" t="str">
        <f t="shared" si="8"/>
        <v/>
      </c>
      <c r="F455" s="29"/>
      <c r="G455" s="29"/>
      <c r="H455" s="28"/>
      <c r="I455" s="29"/>
    </row>
    <row r="456" spans="1:9" x14ac:dyDescent="0.3">
      <c r="A456" s="34" t="str">
        <f t="shared" si="8"/>
        <v/>
      </c>
      <c r="F456" s="29"/>
      <c r="G456" s="29"/>
      <c r="H456" s="28"/>
      <c r="I456" s="29"/>
    </row>
    <row r="457" spans="1:9" x14ac:dyDescent="0.3">
      <c r="A457" s="34" t="str">
        <f t="shared" si="8"/>
        <v/>
      </c>
      <c r="F457" s="29"/>
      <c r="G457" s="29"/>
      <c r="H457" s="28"/>
      <c r="I457" s="29"/>
    </row>
    <row r="458" spans="1:9" x14ac:dyDescent="0.3">
      <c r="A458" s="34" t="str">
        <f t="shared" si="8"/>
        <v/>
      </c>
      <c r="F458" s="29"/>
      <c r="G458" s="29"/>
      <c r="H458" s="28"/>
      <c r="I458" s="29"/>
    </row>
    <row r="459" spans="1:9" x14ac:dyDescent="0.3">
      <c r="A459" s="34" t="str">
        <f t="shared" si="8"/>
        <v/>
      </c>
      <c r="F459" s="29"/>
      <c r="G459" s="29"/>
      <c r="H459" s="28"/>
      <c r="I459" s="29"/>
    </row>
    <row r="460" spans="1:9" x14ac:dyDescent="0.3">
      <c r="A460" s="34" t="str">
        <f t="shared" si="8"/>
        <v/>
      </c>
      <c r="F460" s="29"/>
      <c r="G460" s="29"/>
      <c r="H460" s="28"/>
      <c r="I460" s="29"/>
    </row>
    <row r="461" spans="1:9" x14ac:dyDescent="0.3">
      <c r="A461" s="34" t="str">
        <f t="shared" si="8"/>
        <v/>
      </c>
      <c r="F461" s="29"/>
      <c r="G461" s="29"/>
      <c r="H461" s="28"/>
      <c r="I461" s="29"/>
    </row>
    <row r="462" spans="1:9" x14ac:dyDescent="0.3">
      <c r="A462" s="34" t="str">
        <f t="shared" si="8"/>
        <v/>
      </c>
      <c r="F462" s="29"/>
      <c r="G462" s="29"/>
      <c r="H462" s="28"/>
      <c r="I462" s="29"/>
    </row>
    <row r="463" spans="1:9" x14ac:dyDescent="0.3">
      <c r="A463" s="34" t="str">
        <f t="shared" ref="A463:A526" si="9">C463&amp;E463</f>
        <v/>
      </c>
      <c r="F463" s="29"/>
      <c r="G463" s="29"/>
      <c r="H463" s="28"/>
      <c r="I463" s="29"/>
    </row>
    <row r="464" spans="1:9" x14ac:dyDescent="0.3">
      <c r="A464" s="34" t="str">
        <f t="shared" si="9"/>
        <v/>
      </c>
      <c r="F464" s="29"/>
      <c r="G464" s="29"/>
      <c r="H464" s="28"/>
      <c r="I464" s="29"/>
    </row>
    <row r="465" spans="1:9" x14ac:dyDescent="0.3">
      <c r="A465" s="34" t="str">
        <f t="shared" si="9"/>
        <v/>
      </c>
      <c r="F465" s="29"/>
      <c r="G465" s="29"/>
      <c r="H465" s="28"/>
      <c r="I465" s="29"/>
    </row>
    <row r="466" spans="1:9" x14ac:dyDescent="0.3">
      <c r="A466" s="34" t="str">
        <f t="shared" si="9"/>
        <v/>
      </c>
      <c r="F466" s="29"/>
      <c r="G466" s="29"/>
      <c r="H466" s="28"/>
      <c r="I466" s="29"/>
    </row>
    <row r="467" spans="1:9" x14ac:dyDescent="0.3">
      <c r="A467" s="34" t="str">
        <f t="shared" si="9"/>
        <v/>
      </c>
      <c r="F467" s="29"/>
      <c r="G467" s="29"/>
      <c r="H467" s="28"/>
      <c r="I467" s="29"/>
    </row>
    <row r="468" spans="1:9" x14ac:dyDescent="0.3">
      <c r="A468" s="34" t="str">
        <f t="shared" si="9"/>
        <v/>
      </c>
      <c r="F468" s="29"/>
      <c r="G468" s="29"/>
      <c r="H468" s="28"/>
      <c r="I468" s="29"/>
    </row>
    <row r="469" spans="1:9" x14ac:dyDescent="0.3">
      <c r="A469" s="34" t="str">
        <f t="shared" si="9"/>
        <v/>
      </c>
      <c r="F469" s="29"/>
      <c r="G469" s="29"/>
      <c r="H469" s="28"/>
      <c r="I469" s="29"/>
    </row>
    <row r="470" spans="1:9" x14ac:dyDescent="0.3">
      <c r="A470" s="34" t="str">
        <f t="shared" si="9"/>
        <v/>
      </c>
      <c r="F470" s="29"/>
      <c r="G470" s="29"/>
      <c r="H470" s="28"/>
      <c r="I470" s="29"/>
    </row>
    <row r="471" spans="1:9" x14ac:dyDescent="0.3">
      <c r="A471" s="34" t="str">
        <f t="shared" si="9"/>
        <v/>
      </c>
      <c r="F471" s="29"/>
      <c r="G471" s="29"/>
      <c r="H471" s="28"/>
      <c r="I471" s="29"/>
    </row>
    <row r="472" spans="1:9" x14ac:dyDescent="0.3">
      <c r="A472" s="34" t="str">
        <f t="shared" si="9"/>
        <v/>
      </c>
      <c r="F472" s="29"/>
      <c r="G472" s="29"/>
      <c r="H472" s="28"/>
      <c r="I472" s="29"/>
    </row>
    <row r="473" spans="1:9" x14ac:dyDescent="0.3">
      <c r="A473" s="34" t="str">
        <f t="shared" si="9"/>
        <v/>
      </c>
      <c r="F473" s="29"/>
      <c r="G473" s="29"/>
      <c r="H473" s="28"/>
      <c r="I473" s="29"/>
    </row>
    <row r="474" spans="1:9" x14ac:dyDescent="0.3">
      <c r="A474" s="34" t="str">
        <f t="shared" si="9"/>
        <v/>
      </c>
      <c r="F474" s="29"/>
      <c r="G474" s="29"/>
      <c r="H474" s="28"/>
      <c r="I474" s="29"/>
    </row>
    <row r="475" spans="1:9" x14ac:dyDescent="0.3">
      <c r="A475" s="34" t="str">
        <f t="shared" si="9"/>
        <v/>
      </c>
      <c r="F475" s="29"/>
      <c r="G475" s="29"/>
      <c r="H475" s="28"/>
      <c r="I475" s="29"/>
    </row>
    <row r="476" spans="1:9" x14ac:dyDescent="0.3">
      <c r="A476" s="34" t="str">
        <f t="shared" si="9"/>
        <v/>
      </c>
      <c r="F476" s="29"/>
      <c r="G476" s="29"/>
      <c r="H476" s="28"/>
      <c r="I476" s="29"/>
    </row>
    <row r="477" spans="1:9" x14ac:dyDescent="0.3">
      <c r="A477" s="34" t="str">
        <f t="shared" si="9"/>
        <v/>
      </c>
      <c r="F477" s="29"/>
      <c r="G477" s="29"/>
      <c r="H477" s="28"/>
      <c r="I477" s="29"/>
    </row>
    <row r="478" spans="1:9" x14ac:dyDescent="0.3">
      <c r="A478" s="34" t="str">
        <f t="shared" si="9"/>
        <v/>
      </c>
      <c r="F478" s="29"/>
      <c r="G478" s="29"/>
      <c r="H478" s="28"/>
      <c r="I478" s="29"/>
    </row>
    <row r="479" spans="1:9" x14ac:dyDescent="0.3">
      <c r="A479" s="34" t="str">
        <f t="shared" si="9"/>
        <v/>
      </c>
      <c r="F479" s="29"/>
      <c r="G479" s="29"/>
      <c r="H479" s="28"/>
      <c r="I479" s="29"/>
    </row>
    <row r="480" spans="1:9" x14ac:dyDescent="0.3">
      <c r="A480" s="34" t="str">
        <f t="shared" si="9"/>
        <v/>
      </c>
      <c r="F480" s="29"/>
      <c r="G480" s="29"/>
      <c r="H480" s="28"/>
      <c r="I480" s="29"/>
    </row>
    <row r="481" spans="1:9" x14ac:dyDescent="0.3">
      <c r="A481" s="34" t="str">
        <f t="shared" si="9"/>
        <v/>
      </c>
      <c r="F481" s="29"/>
      <c r="G481" s="29"/>
      <c r="H481" s="28"/>
      <c r="I481" s="29"/>
    </row>
    <row r="482" spans="1:9" x14ac:dyDescent="0.3">
      <c r="A482" s="34" t="str">
        <f t="shared" si="9"/>
        <v/>
      </c>
      <c r="F482" s="29"/>
      <c r="G482" s="29"/>
      <c r="H482" s="28"/>
      <c r="I482" s="29"/>
    </row>
    <row r="483" spans="1:9" x14ac:dyDescent="0.3">
      <c r="A483" s="34" t="str">
        <f t="shared" si="9"/>
        <v/>
      </c>
      <c r="F483" s="29"/>
      <c r="G483" s="29"/>
      <c r="H483" s="28"/>
      <c r="I483" s="29"/>
    </row>
    <row r="484" spans="1:9" x14ac:dyDescent="0.3">
      <c r="A484" s="34" t="str">
        <f t="shared" si="9"/>
        <v/>
      </c>
      <c r="F484" s="29"/>
      <c r="G484" s="29"/>
      <c r="H484" s="28"/>
      <c r="I484" s="29"/>
    </row>
    <row r="485" spans="1:9" x14ac:dyDescent="0.3">
      <c r="A485" s="34" t="str">
        <f t="shared" si="9"/>
        <v/>
      </c>
      <c r="F485" s="29"/>
      <c r="G485" s="29"/>
      <c r="H485" s="28"/>
      <c r="I485" s="29"/>
    </row>
    <row r="486" spans="1:9" x14ac:dyDescent="0.3">
      <c r="A486" s="34" t="str">
        <f t="shared" si="9"/>
        <v/>
      </c>
      <c r="F486" s="29"/>
      <c r="G486" s="29"/>
      <c r="H486" s="28"/>
      <c r="I486" s="29"/>
    </row>
    <row r="487" spans="1:9" x14ac:dyDescent="0.3">
      <c r="A487" s="34" t="str">
        <f t="shared" si="9"/>
        <v/>
      </c>
      <c r="F487" s="29"/>
      <c r="G487" s="29"/>
      <c r="H487" s="28"/>
      <c r="I487" s="29"/>
    </row>
    <row r="488" spans="1:9" x14ac:dyDescent="0.3">
      <c r="A488" s="34" t="str">
        <f t="shared" si="9"/>
        <v/>
      </c>
      <c r="F488" s="29"/>
      <c r="G488" s="29"/>
      <c r="H488" s="28"/>
      <c r="I488" s="29"/>
    </row>
    <row r="489" spans="1:9" x14ac:dyDescent="0.3">
      <c r="A489" s="34" t="str">
        <f t="shared" si="9"/>
        <v/>
      </c>
      <c r="F489" s="29"/>
      <c r="G489" s="29"/>
      <c r="H489" s="28"/>
      <c r="I489" s="29"/>
    </row>
    <row r="490" spans="1:9" x14ac:dyDescent="0.3">
      <c r="A490" s="34" t="str">
        <f t="shared" si="9"/>
        <v/>
      </c>
      <c r="F490" s="29"/>
      <c r="G490" s="29"/>
      <c r="H490" s="28"/>
      <c r="I490" s="29"/>
    </row>
    <row r="491" spans="1:9" x14ac:dyDescent="0.3">
      <c r="A491" s="34" t="str">
        <f t="shared" si="9"/>
        <v/>
      </c>
      <c r="F491" s="29"/>
      <c r="G491" s="29"/>
      <c r="H491" s="28"/>
      <c r="I491" s="29"/>
    </row>
    <row r="492" spans="1:9" x14ac:dyDescent="0.3">
      <c r="A492" s="34" t="str">
        <f t="shared" si="9"/>
        <v/>
      </c>
      <c r="F492" s="29"/>
      <c r="G492" s="29"/>
      <c r="H492" s="28"/>
      <c r="I492" s="29"/>
    </row>
    <row r="493" spans="1:9" x14ac:dyDescent="0.3">
      <c r="A493" s="34" t="str">
        <f t="shared" si="9"/>
        <v/>
      </c>
      <c r="F493" s="29"/>
      <c r="G493" s="29"/>
      <c r="H493" s="28"/>
      <c r="I493" s="29"/>
    </row>
    <row r="494" spans="1:9" x14ac:dyDescent="0.3">
      <c r="A494" s="34" t="str">
        <f t="shared" si="9"/>
        <v/>
      </c>
      <c r="F494" s="29"/>
      <c r="G494" s="29"/>
      <c r="H494" s="28"/>
      <c r="I494" s="29"/>
    </row>
    <row r="495" spans="1:9" x14ac:dyDescent="0.3">
      <c r="A495" s="34" t="str">
        <f t="shared" si="9"/>
        <v/>
      </c>
      <c r="F495" s="29"/>
      <c r="G495" s="29"/>
      <c r="H495" s="28"/>
      <c r="I495" s="29"/>
    </row>
    <row r="496" spans="1:9" x14ac:dyDescent="0.3">
      <c r="A496" s="34" t="str">
        <f t="shared" si="9"/>
        <v/>
      </c>
      <c r="F496" s="29"/>
      <c r="G496" s="29"/>
      <c r="H496" s="28"/>
      <c r="I496" s="29"/>
    </row>
    <row r="497" spans="1:9" x14ac:dyDescent="0.3">
      <c r="A497" s="34" t="str">
        <f t="shared" si="9"/>
        <v/>
      </c>
      <c r="F497" s="29"/>
      <c r="G497" s="29"/>
      <c r="H497" s="28"/>
      <c r="I497" s="29"/>
    </row>
    <row r="498" spans="1:9" x14ac:dyDescent="0.3">
      <c r="A498" s="34" t="str">
        <f t="shared" si="9"/>
        <v/>
      </c>
      <c r="F498" s="29"/>
      <c r="G498" s="29"/>
      <c r="H498" s="28"/>
      <c r="I498" s="29"/>
    </row>
    <row r="499" spans="1:9" x14ac:dyDescent="0.3">
      <c r="A499" s="34" t="str">
        <f t="shared" si="9"/>
        <v/>
      </c>
      <c r="F499" s="29"/>
      <c r="G499" s="29"/>
      <c r="H499" s="28"/>
      <c r="I499" s="29"/>
    </row>
    <row r="500" spans="1:9" x14ac:dyDescent="0.3">
      <c r="A500" s="34" t="str">
        <f t="shared" si="9"/>
        <v/>
      </c>
      <c r="F500" s="29"/>
      <c r="G500" s="29"/>
      <c r="H500" s="28"/>
      <c r="I500" s="29"/>
    </row>
    <row r="501" spans="1:9" x14ac:dyDescent="0.3">
      <c r="A501" s="34" t="str">
        <f t="shared" si="9"/>
        <v/>
      </c>
      <c r="F501" s="29"/>
      <c r="G501" s="29"/>
      <c r="H501" s="28"/>
      <c r="I501" s="29"/>
    </row>
    <row r="502" spans="1:9" x14ac:dyDescent="0.3">
      <c r="A502" s="34" t="str">
        <f t="shared" si="9"/>
        <v/>
      </c>
      <c r="F502" s="29"/>
      <c r="G502" s="29"/>
      <c r="H502" s="28"/>
      <c r="I502" s="29"/>
    </row>
    <row r="503" spans="1:9" x14ac:dyDescent="0.3">
      <c r="A503" s="34" t="str">
        <f t="shared" si="9"/>
        <v/>
      </c>
      <c r="F503" s="29"/>
      <c r="G503" s="29"/>
      <c r="H503" s="28"/>
      <c r="I503" s="29"/>
    </row>
    <row r="504" spans="1:9" x14ac:dyDescent="0.3">
      <c r="A504" s="34" t="str">
        <f t="shared" si="9"/>
        <v/>
      </c>
      <c r="F504" s="29"/>
      <c r="G504" s="29"/>
      <c r="H504" s="28"/>
      <c r="I504" s="29"/>
    </row>
    <row r="505" spans="1:9" x14ac:dyDescent="0.3">
      <c r="A505" s="34" t="str">
        <f t="shared" si="9"/>
        <v/>
      </c>
      <c r="F505" s="29"/>
      <c r="G505" s="29"/>
      <c r="H505" s="28"/>
      <c r="I505" s="29"/>
    </row>
    <row r="506" spans="1:9" x14ac:dyDescent="0.3">
      <c r="A506" s="34" t="str">
        <f t="shared" si="9"/>
        <v/>
      </c>
      <c r="F506" s="29"/>
      <c r="G506" s="29"/>
      <c r="H506" s="28"/>
      <c r="I506" s="29"/>
    </row>
    <row r="507" spans="1:9" x14ac:dyDescent="0.3">
      <c r="A507" s="34" t="str">
        <f t="shared" si="9"/>
        <v/>
      </c>
      <c r="F507" s="29"/>
      <c r="G507" s="29"/>
      <c r="H507" s="28"/>
      <c r="I507" s="29"/>
    </row>
    <row r="508" spans="1:9" x14ac:dyDescent="0.3">
      <c r="A508" s="34" t="str">
        <f t="shared" si="9"/>
        <v/>
      </c>
      <c r="F508" s="29"/>
      <c r="G508" s="29"/>
      <c r="H508" s="28"/>
      <c r="I508" s="29"/>
    </row>
    <row r="509" spans="1:9" x14ac:dyDescent="0.3">
      <c r="A509" s="34" t="str">
        <f t="shared" si="9"/>
        <v/>
      </c>
      <c r="F509" s="29"/>
      <c r="G509" s="29"/>
      <c r="H509" s="28"/>
      <c r="I509" s="29"/>
    </row>
    <row r="510" spans="1:9" x14ac:dyDescent="0.3">
      <c r="A510" s="34" t="str">
        <f t="shared" si="9"/>
        <v/>
      </c>
      <c r="F510" s="29"/>
      <c r="G510" s="29"/>
      <c r="H510" s="28"/>
      <c r="I510" s="29"/>
    </row>
    <row r="511" spans="1:9" x14ac:dyDescent="0.3">
      <c r="A511" s="34" t="str">
        <f t="shared" si="9"/>
        <v/>
      </c>
      <c r="F511" s="29"/>
      <c r="G511" s="29"/>
      <c r="H511" s="28"/>
      <c r="I511" s="29"/>
    </row>
    <row r="512" spans="1:9" x14ac:dyDescent="0.3">
      <c r="A512" s="34" t="str">
        <f t="shared" si="9"/>
        <v/>
      </c>
      <c r="F512" s="29"/>
      <c r="G512" s="29"/>
      <c r="H512" s="28"/>
      <c r="I512" s="29"/>
    </row>
    <row r="513" spans="1:9" x14ac:dyDescent="0.3">
      <c r="A513" s="34" t="str">
        <f t="shared" si="9"/>
        <v/>
      </c>
      <c r="F513" s="29"/>
      <c r="G513" s="29"/>
      <c r="H513" s="28"/>
      <c r="I513" s="29"/>
    </row>
    <row r="514" spans="1:9" x14ac:dyDescent="0.3">
      <c r="A514" s="34" t="str">
        <f t="shared" si="9"/>
        <v/>
      </c>
      <c r="F514" s="29"/>
      <c r="G514" s="29"/>
      <c r="H514" s="28"/>
      <c r="I514" s="29"/>
    </row>
    <row r="515" spans="1:9" x14ac:dyDescent="0.3">
      <c r="A515" s="34" t="str">
        <f t="shared" si="9"/>
        <v/>
      </c>
      <c r="F515" s="29"/>
      <c r="G515" s="29"/>
      <c r="H515" s="28"/>
      <c r="I515" s="29"/>
    </row>
    <row r="516" spans="1:9" x14ac:dyDescent="0.3">
      <c r="A516" s="34" t="str">
        <f t="shared" si="9"/>
        <v/>
      </c>
      <c r="F516" s="29"/>
      <c r="G516" s="29"/>
      <c r="H516" s="28"/>
      <c r="I516" s="29"/>
    </row>
    <row r="517" spans="1:9" x14ac:dyDescent="0.3">
      <c r="A517" s="34" t="str">
        <f t="shared" si="9"/>
        <v/>
      </c>
      <c r="F517" s="29"/>
      <c r="G517" s="29"/>
      <c r="H517" s="28"/>
      <c r="I517" s="29"/>
    </row>
    <row r="518" spans="1:9" x14ac:dyDescent="0.3">
      <c r="A518" s="34" t="str">
        <f t="shared" si="9"/>
        <v/>
      </c>
      <c r="F518" s="29"/>
      <c r="G518" s="29"/>
      <c r="H518" s="28"/>
      <c r="I518" s="29"/>
    </row>
    <row r="519" spans="1:9" x14ac:dyDescent="0.3">
      <c r="A519" s="34" t="str">
        <f t="shared" si="9"/>
        <v/>
      </c>
      <c r="F519" s="29"/>
      <c r="G519" s="29"/>
      <c r="H519" s="28"/>
      <c r="I519" s="29"/>
    </row>
    <row r="520" spans="1:9" x14ac:dyDescent="0.3">
      <c r="A520" s="34" t="str">
        <f t="shared" si="9"/>
        <v/>
      </c>
      <c r="F520" s="29"/>
      <c r="G520" s="29"/>
      <c r="H520" s="28"/>
      <c r="I520" s="29"/>
    </row>
    <row r="521" spans="1:9" x14ac:dyDescent="0.3">
      <c r="A521" s="34" t="str">
        <f t="shared" si="9"/>
        <v/>
      </c>
      <c r="F521" s="29"/>
      <c r="G521" s="29"/>
      <c r="H521" s="28"/>
      <c r="I521" s="29"/>
    </row>
    <row r="522" spans="1:9" x14ac:dyDescent="0.3">
      <c r="A522" s="34" t="str">
        <f t="shared" si="9"/>
        <v/>
      </c>
      <c r="F522" s="29"/>
      <c r="G522" s="29"/>
      <c r="H522" s="28"/>
      <c r="I522" s="29"/>
    </row>
    <row r="523" spans="1:9" x14ac:dyDescent="0.3">
      <c r="A523" s="34" t="str">
        <f t="shared" si="9"/>
        <v/>
      </c>
      <c r="F523" s="29"/>
      <c r="G523" s="29"/>
      <c r="H523" s="28"/>
      <c r="I523" s="29"/>
    </row>
    <row r="524" spans="1:9" x14ac:dyDescent="0.3">
      <c r="A524" s="34" t="str">
        <f t="shared" si="9"/>
        <v/>
      </c>
      <c r="F524" s="29"/>
      <c r="G524" s="29"/>
      <c r="H524" s="28"/>
      <c r="I524" s="29"/>
    </row>
    <row r="525" spans="1:9" x14ac:dyDescent="0.3">
      <c r="A525" s="34" t="str">
        <f t="shared" si="9"/>
        <v/>
      </c>
      <c r="F525" s="29"/>
      <c r="G525" s="29"/>
      <c r="H525" s="28"/>
      <c r="I525" s="29"/>
    </row>
    <row r="526" spans="1:9" x14ac:dyDescent="0.3">
      <c r="A526" s="34" t="str">
        <f t="shared" si="9"/>
        <v/>
      </c>
      <c r="F526" s="29"/>
      <c r="G526" s="29"/>
      <c r="H526" s="28"/>
      <c r="I526" s="29"/>
    </row>
    <row r="527" spans="1:9" x14ac:dyDescent="0.3">
      <c r="A527" s="34" t="str">
        <f t="shared" ref="A527:A590" si="10">C527&amp;E527</f>
        <v/>
      </c>
      <c r="F527" s="29"/>
      <c r="G527" s="29"/>
      <c r="H527" s="28"/>
      <c r="I527" s="29"/>
    </row>
    <row r="528" spans="1:9" x14ac:dyDescent="0.3">
      <c r="A528" s="34" t="str">
        <f t="shared" si="10"/>
        <v/>
      </c>
      <c r="F528" s="29"/>
      <c r="G528" s="29"/>
      <c r="H528" s="28"/>
      <c r="I528" s="29"/>
    </row>
    <row r="529" spans="1:9" x14ac:dyDescent="0.3">
      <c r="A529" s="34" t="str">
        <f t="shared" si="10"/>
        <v/>
      </c>
      <c r="F529" s="29"/>
      <c r="G529" s="29"/>
      <c r="H529" s="28"/>
      <c r="I529" s="29"/>
    </row>
    <row r="530" spans="1:9" x14ac:dyDescent="0.3">
      <c r="A530" s="34" t="str">
        <f t="shared" si="10"/>
        <v/>
      </c>
      <c r="F530" s="29"/>
      <c r="G530" s="29"/>
      <c r="H530" s="28"/>
      <c r="I530" s="29"/>
    </row>
    <row r="531" spans="1:9" x14ac:dyDescent="0.3">
      <c r="A531" s="34" t="str">
        <f t="shared" si="10"/>
        <v/>
      </c>
      <c r="F531" s="29"/>
      <c r="G531" s="29"/>
      <c r="H531" s="28"/>
      <c r="I531" s="29"/>
    </row>
    <row r="532" spans="1:9" x14ac:dyDescent="0.3">
      <c r="A532" s="34" t="str">
        <f t="shared" si="10"/>
        <v/>
      </c>
      <c r="F532" s="29"/>
      <c r="G532" s="29"/>
      <c r="H532" s="28"/>
      <c r="I532" s="29"/>
    </row>
    <row r="533" spans="1:9" x14ac:dyDescent="0.3">
      <c r="A533" s="34" t="str">
        <f t="shared" si="10"/>
        <v/>
      </c>
      <c r="F533" s="29"/>
      <c r="G533" s="29"/>
      <c r="H533" s="28"/>
      <c r="I533" s="29"/>
    </row>
    <row r="534" spans="1:9" x14ac:dyDescent="0.3">
      <c r="A534" s="34" t="str">
        <f t="shared" si="10"/>
        <v/>
      </c>
      <c r="F534" s="29"/>
      <c r="G534" s="29"/>
      <c r="H534" s="28"/>
      <c r="I534" s="29"/>
    </row>
    <row r="535" spans="1:9" x14ac:dyDescent="0.3">
      <c r="A535" s="34" t="str">
        <f t="shared" si="10"/>
        <v/>
      </c>
      <c r="F535" s="29"/>
      <c r="G535" s="29"/>
      <c r="H535" s="28"/>
      <c r="I535" s="29"/>
    </row>
    <row r="536" spans="1:9" x14ac:dyDescent="0.3">
      <c r="A536" s="34" t="str">
        <f t="shared" si="10"/>
        <v/>
      </c>
      <c r="F536" s="29"/>
      <c r="G536" s="29"/>
      <c r="H536" s="28"/>
      <c r="I536" s="29"/>
    </row>
    <row r="537" spans="1:9" x14ac:dyDescent="0.3">
      <c r="A537" s="34" t="str">
        <f t="shared" si="10"/>
        <v/>
      </c>
      <c r="F537" s="29"/>
      <c r="G537" s="29"/>
      <c r="H537" s="28"/>
      <c r="I537" s="29"/>
    </row>
    <row r="538" spans="1:9" x14ac:dyDescent="0.3">
      <c r="A538" s="34" t="str">
        <f t="shared" si="10"/>
        <v/>
      </c>
      <c r="F538" s="29"/>
      <c r="G538" s="29"/>
      <c r="H538" s="28"/>
      <c r="I538" s="29"/>
    </row>
    <row r="539" spans="1:9" x14ac:dyDescent="0.3">
      <c r="A539" s="34" t="str">
        <f t="shared" si="10"/>
        <v/>
      </c>
      <c r="F539" s="29"/>
      <c r="G539" s="29"/>
      <c r="H539" s="28"/>
      <c r="I539" s="29"/>
    </row>
    <row r="540" spans="1:9" x14ac:dyDescent="0.3">
      <c r="A540" s="34" t="str">
        <f t="shared" si="10"/>
        <v/>
      </c>
      <c r="F540" s="29"/>
      <c r="G540" s="29"/>
      <c r="H540" s="28"/>
      <c r="I540" s="29"/>
    </row>
    <row r="541" spans="1:9" x14ac:dyDescent="0.3">
      <c r="A541" s="34" t="str">
        <f t="shared" si="10"/>
        <v/>
      </c>
      <c r="F541" s="29"/>
      <c r="G541" s="29"/>
      <c r="H541" s="28"/>
      <c r="I541" s="29"/>
    </row>
    <row r="542" spans="1:9" x14ac:dyDescent="0.3">
      <c r="A542" s="34" t="str">
        <f t="shared" si="10"/>
        <v/>
      </c>
      <c r="F542" s="29"/>
      <c r="G542" s="29"/>
      <c r="H542" s="28"/>
      <c r="I542" s="29"/>
    </row>
    <row r="543" spans="1:9" x14ac:dyDescent="0.3">
      <c r="A543" s="34" t="str">
        <f t="shared" si="10"/>
        <v/>
      </c>
      <c r="F543" s="29"/>
      <c r="G543" s="29"/>
      <c r="H543" s="28"/>
      <c r="I543" s="29"/>
    </row>
    <row r="544" spans="1:9" x14ac:dyDescent="0.3">
      <c r="A544" s="34" t="str">
        <f t="shared" si="10"/>
        <v/>
      </c>
      <c r="F544" s="29"/>
      <c r="G544" s="29"/>
      <c r="H544" s="28"/>
      <c r="I544" s="29"/>
    </row>
    <row r="545" spans="1:9" x14ac:dyDescent="0.3">
      <c r="A545" s="34" t="str">
        <f t="shared" si="10"/>
        <v/>
      </c>
      <c r="F545" s="29"/>
      <c r="G545" s="29"/>
      <c r="H545" s="28"/>
      <c r="I545" s="29"/>
    </row>
    <row r="546" spans="1:9" x14ac:dyDescent="0.3">
      <c r="A546" s="34" t="str">
        <f t="shared" si="10"/>
        <v/>
      </c>
      <c r="F546" s="29"/>
      <c r="G546" s="29"/>
      <c r="H546" s="28"/>
      <c r="I546" s="29"/>
    </row>
    <row r="547" spans="1:9" x14ac:dyDescent="0.3">
      <c r="A547" s="34" t="str">
        <f t="shared" si="10"/>
        <v/>
      </c>
      <c r="F547" s="29"/>
      <c r="G547" s="29"/>
      <c r="H547" s="28"/>
      <c r="I547" s="29"/>
    </row>
    <row r="548" spans="1:9" x14ac:dyDescent="0.3">
      <c r="A548" s="34" t="str">
        <f t="shared" si="10"/>
        <v/>
      </c>
      <c r="F548" s="29"/>
      <c r="G548" s="29"/>
      <c r="H548" s="28"/>
      <c r="I548" s="29"/>
    </row>
    <row r="549" spans="1:9" x14ac:dyDescent="0.3">
      <c r="A549" s="34" t="str">
        <f t="shared" si="10"/>
        <v/>
      </c>
      <c r="F549" s="29"/>
      <c r="G549" s="29"/>
      <c r="H549" s="28"/>
      <c r="I549" s="29"/>
    </row>
    <row r="550" spans="1:9" x14ac:dyDescent="0.3">
      <c r="A550" s="34" t="str">
        <f t="shared" si="10"/>
        <v/>
      </c>
      <c r="F550" s="29"/>
      <c r="G550" s="29"/>
      <c r="H550" s="28"/>
      <c r="I550" s="29"/>
    </row>
    <row r="551" spans="1:9" x14ac:dyDescent="0.3">
      <c r="A551" s="34" t="str">
        <f t="shared" si="10"/>
        <v/>
      </c>
      <c r="F551" s="29"/>
      <c r="G551" s="29"/>
      <c r="H551" s="28"/>
      <c r="I551" s="29"/>
    </row>
    <row r="552" spans="1:9" x14ac:dyDescent="0.3">
      <c r="A552" s="34" t="str">
        <f t="shared" si="10"/>
        <v/>
      </c>
      <c r="F552" s="29"/>
      <c r="G552" s="29"/>
      <c r="H552" s="28"/>
      <c r="I552" s="29"/>
    </row>
    <row r="553" spans="1:9" x14ac:dyDescent="0.3">
      <c r="A553" s="34" t="str">
        <f t="shared" si="10"/>
        <v/>
      </c>
      <c r="F553" s="29"/>
      <c r="G553" s="29"/>
      <c r="H553" s="28"/>
      <c r="I553" s="29"/>
    </row>
    <row r="554" spans="1:9" x14ac:dyDescent="0.3">
      <c r="A554" s="34" t="str">
        <f t="shared" si="10"/>
        <v/>
      </c>
      <c r="F554" s="29"/>
      <c r="G554" s="29"/>
      <c r="H554" s="28"/>
      <c r="I554" s="29"/>
    </row>
    <row r="555" spans="1:9" x14ac:dyDescent="0.3">
      <c r="A555" s="34" t="str">
        <f t="shared" si="10"/>
        <v/>
      </c>
      <c r="F555" s="29"/>
      <c r="G555" s="29"/>
      <c r="H555" s="28"/>
      <c r="I555" s="29"/>
    </row>
    <row r="556" spans="1:9" x14ac:dyDescent="0.3">
      <c r="A556" s="34" t="str">
        <f t="shared" si="10"/>
        <v/>
      </c>
      <c r="F556" s="29"/>
      <c r="G556" s="29"/>
      <c r="H556" s="28"/>
      <c r="I556" s="29"/>
    </row>
    <row r="557" spans="1:9" x14ac:dyDescent="0.3">
      <c r="A557" s="34" t="str">
        <f t="shared" si="10"/>
        <v/>
      </c>
      <c r="F557" s="29"/>
      <c r="G557" s="29"/>
      <c r="H557" s="28"/>
      <c r="I557" s="29"/>
    </row>
    <row r="558" spans="1:9" x14ac:dyDescent="0.3">
      <c r="A558" s="34" t="str">
        <f t="shared" si="10"/>
        <v/>
      </c>
      <c r="F558" s="29"/>
      <c r="G558" s="29"/>
      <c r="H558" s="28"/>
      <c r="I558" s="29"/>
    </row>
    <row r="559" spans="1:9" x14ac:dyDescent="0.3">
      <c r="A559" s="34" t="str">
        <f t="shared" si="10"/>
        <v/>
      </c>
      <c r="F559" s="29"/>
      <c r="G559" s="29"/>
      <c r="H559" s="28"/>
      <c r="I559" s="29"/>
    </row>
    <row r="560" spans="1:9" x14ac:dyDescent="0.3">
      <c r="A560" s="34" t="str">
        <f t="shared" si="10"/>
        <v/>
      </c>
      <c r="F560" s="29"/>
      <c r="G560" s="29"/>
      <c r="H560" s="28"/>
      <c r="I560" s="29"/>
    </row>
    <row r="561" spans="1:9" x14ac:dyDescent="0.3">
      <c r="A561" s="34" t="str">
        <f t="shared" si="10"/>
        <v/>
      </c>
      <c r="F561" s="29"/>
      <c r="G561" s="29"/>
      <c r="H561" s="28"/>
      <c r="I561" s="29"/>
    </row>
    <row r="562" spans="1:9" x14ac:dyDescent="0.3">
      <c r="A562" s="34" t="str">
        <f t="shared" si="10"/>
        <v/>
      </c>
      <c r="F562" s="29"/>
      <c r="G562" s="29"/>
      <c r="H562" s="28"/>
      <c r="I562" s="29"/>
    </row>
    <row r="563" spans="1:9" x14ac:dyDescent="0.3">
      <c r="A563" s="34" t="str">
        <f t="shared" si="10"/>
        <v/>
      </c>
      <c r="F563" s="29"/>
      <c r="G563" s="29"/>
      <c r="H563" s="28"/>
      <c r="I563" s="29"/>
    </row>
    <row r="564" spans="1:9" x14ac:dyDescent="0.3">
      <c r="A564" s="34" t="str">
        <f t="shared" si="10"/>
        <v/>
      </c>
      <c r="F564" s="29"/>
      <c r="G564" s="29"/>
      <c r="H564" s="28"/>
      <c r="I564" s="29"/>
    </row>
    <row r="565" spans="1:9" x14ac:dyDescent="0.3">
      <c r="A565" s="34" t="str">
        <f t="shared" si="10"/>
        <v/>
      </c>
      <c r="F565" s="29"/>
      <c r="G565" s="29"/>
      <c r="H565" s="28"/>
      <c r="I565" s="29"/>
    </row>
    <row r="566" spans="1:9" x14ac:dyDescent="0.3">
      <c r="A566" s="34" t="str">
        <f t="shared" si="10"/>
        <v/>
      </c>
      <c r="F566" s="29"/>
      <c r="G566" s="29"/>
      <c r="H566" s="28"/>
      <c r="I566" s="29"/>
    </row>
    <row r="567" spans="1:9" x14ac:dyDescent="0.3">
      <c r="A567" s="34" t="str">
        <f t="shared" si="10"/>
        <v/>
      </c>
      <c r="F567" s="29"/>
      <c r="G567" s="29"/>
      <c r="H567" s="28"/>
      <c r="I567" s="29"/>
    </row>
    <row r="568" spans="1:9" x14ac:dyDescent="0.3">
      <c r="A568" s="34" t="str">
        <f t="shared" si="10"/>
        <v/>
      </c>
      <c r="F568" s="29"/>
      <c r="G568" s="29"/>
      <c r="H568" s="28"/>
      <c r="I568" s="29"/>
    </row>
    <row r="569" spans="1:9" x14ac:dyDescent="0.3">
      <c r="A569" s="34" t="str">
        <f t="shared" si="10"/>
        <v/>
      </c>
      <c r="F569" s="29"/>
      <c r="G569" s="29"/>
      <c r="H569" s="28"/>
      <c r="I569" s="29"/>
    </row>
    <row r="570" spans="1:9" x14ac:dyDescent="0.3">
      <c r="A570" s="34" t="str">
        <f t="shared" si="10"/>
        <v/>
      </c>
      <c r="F570" s="29"/>
      <c r="G570" s="29"/>
      <c r="H570" s="28"/>
      <c r="I570" s="29"/>
    </row>
    <row r="571" spans="1:9" x14ac:dyDescent="0.3">
      <c r="A571" s="34" t="str">
        <f t="shared" si="10"/>
        <v/>
      </c>
      <c r="F571" s="29"/>
      <c r="G571" s="29"/>
      <c r="H571" s="28"/>
      <c r="I571" s="29"/>
    </row>
    <row r="572" spans="1:9" x14ac:dyDescent="0.3">
      <c r="A572" s="34" t="str">
        <f t="shared" si="10"/>
        <v/>
      </c>
      <c r="F572" s="29"/>
      <c r="G572" s="29"/>
      <c r="H572" s="28"/>
      <c r="I572" s="29"/>
    </row>
    <row r="573" spans="1:9" x14ac:dyDescent="0.3">
      <c r="A573" s="34" t="str">
        <f t="shared" si="10"/>
        <v/>
      </c>
      <c r="F573" s="29"/>
      <c r="G573" s="29"/>
      <c r="H573" s="28"/>
      <c r="I573" s="29"/>
    </row>
    <row r="574" spans="1:9" x14ac:dyDescent="0.3">
      <c r="A574" s="34" t="str">
        <f t="shared" si="10"/>
        <v/>
      </c>
      <c r="F574" s="29"/>
      <c r="G574" s="29"/>
      <c r="H574" s="28"/>
      <c r="I574" s="29"/>
    </row>
    <row r="575" spans="1:9" x14ac:dyDescent="0.3">
      <c r="A575" s="34" t="str">
        <f t="shared" si="10"/>
        <v/>
      </c>
      <c r="F575" s="29"/>
      <c r="G575" s="29"/>
      <c r="H575" s="28"/>
      <c r="I575" s="29"/>
    </row>
    <row r="576" spans="1:9" x14ac:dyDescent="0.3">
      <c r="A576" s="34" t="str">
        <f t="shared" si="10"/>
        <v/>
      </c>
      <c r="F576" s="29"/>
      <c r="G576" s="29"/>
      <c r="H576" s="28"/>
      <c r="I576" s="29"/>
    </row>
    <row r="577" spans="1:9" x14ac:dyDescent="0.3">
      <c r="A577" s="34" t="str">
        <f t="shared" si="10"/>
        <v/>
      </c>
      <c r="F577" s="29"/>
      <c r="G577" s="29"/>
      <c r="H577" s="28"/>
      <c r="I577" s="29"/>
    </row>
    <row r="578" spans="1:9" x14ac:dyDescent="0.3">
      <c r="A578" s="34" t="str">
        <f t="shared" si="10"/>
        <v/>
      </c>
      <c r="F578" s="29"/>
      <c r="G578" s="29"/>
      <c r="H578" s="28"/>
      <c r="I578" s="29"/>
    </row>
    <row r="579" spans="1:9" x14ac:dyDescent="0.3">
      <c r="A579" s="34" t="str">
        <f t="shared" si="10"/>
        <v/>
      </c>
      <c r="F579" s="29"/>
      <c r="G579" s="29"/>
      <c r="H579" s="28"/>
      <c r="I579" s="29"/>
    </row>
    <row r="580" spans="1:9" x14ac:dyDescent="0.3">
      <c r="A580" s="34" t="str">
        <f t="shared" si="10"/>
        <v/>
      </c>
      <c r="F580" s="29"/>
      <c r="G580" s="29"/>
      <c r="H580" s="28"/>
      <c r="I580" s="29"/>
    </row>
    <row r="581" spans="1:9" x14ac:dyDescent="0.3">
      <c r="A581" s="34" t="str">
        <f t="shared" si="10"/>
        <v/>
      </c>
      <c r="F581" s="29"/>
      <c r="G581" s="29"/>
      <c r="H581" s="28"/>
      <c r="I581" s="29"/>
    </row>
    <row r="582" spans="1:9" x14ac:dyDescent="0.3">
      <c r="A582" s="34" t="str">
        <f t="shared" si="10"/>
        <v/>
      </c>
      <c r="F582" s="29"/>
      <c r="G582" s="29"/>
      <c r="H582" s="28"/>
      <c r="I582" s="29"/>
    </row>
    <row r="583" spans="1:9" x14ac:dyDescent="0.3">
      <c r="A583" s="34" t="str">
        <f t="shared" si="10"/>
        <v/>
      </c>
      <c r="F583" s="29"/>
      <c r="G583" s="29"/>
      <c r="H583" s="28"/>
      <c r="I583" s="29"/>
    </row>
    <row r="584" spans="1:9" x14ac:dyDescent="0.3">
      <c r="A584" s="34" t="str">
        <f t="shared" si="10"/>
        <v/>
      </c>
      <c r="F584" s="29"/>
      <c r="G584" s="29"/>
      <c r="H584" s="28"/>
      <c r="I584" s="29"/>
    </row>
    <row r="585" spans="1:9" x14ac:dyDescent="0.3">
      <c r="A585" s="34" t="str">
        <f t="shared" si="10"/>
        <v/>
      </c>
      <c r="F585" s="29"/>
      <c r="G585" s="29"/>
      <c r="H585" s="28"/>
      <c r="I585" s="29"/>
    </row>
    <row r="586" spans="1:9" x14ac:dyDescent="0.3">
      <c r="A586" s="34" t="str">
        <f t="shared" si="10"/>
        <v/>
      </c>
      <c r="F586" s="29"/>
      <c r="G586" s="29"/>
      <c r="H586" s="28"/>
      <c r="I586" s="29"/>
    </row>
    <row r="587" spans="1:9" x14ac:dyDescent="0.3">
      <c r="A587" s="34" t="str">
        <f t="shared" si="10"/>
        <v/>
      </c>
      <c r="F587" s="29"/>
      <c r="G587" s="29"/>
      <c r="H587" s="28"/>
      <c r="I587" s="29"/>
    </row>
    <row r="588" spans="1:9" x14ac:dyDescent="0.3">
      <c r="A588" s="34" t="str">
        <f t="shared" si="10"/>
        <v/>
      </c>
      <c r="F588" s="29"/>
      <c r="G588" s="29"/>
      <c r="H588" s="28"/>
      <c r="I588" s="29"/>
    </row>
    <row r="589" spans="1:9" x14ac:dyDescent="0.3">
      <c r="A589" s="34" t="str">
        <f t="shared" si="10"/>
        <v/>
      </c>
      <c r="F589" s="29"/>
      <c r="G589" s="29"/>
      <c r="H589" s="28"/>
      <c r="I589" s="29"/>
    </row>
    <row r="590" spans="1:9" x14ac:dyDescent="0.3">
      <c r="A590" s="34" t="str">
        <f t="shared" si="10"/>
        <v/>
      </c>
      <c r="F590" s="29"/>
      <c r="G590" s="29"/>
      <c r="H590" s="28"/>
      <c r="I590" s="29"/>
    </row>
    <row r="591" spans="1:9" x14ac:dyDescent="0.3">
      <c r="A591" s="34" t="str">
        <f t="shared" ref="A591:A654" si="11">C591&amp;E591</f>
        <v/>
      </c>
      <c r="F591" s="29"/>
      <c r="G591" s="29"/>
      <c r="H591" s="28"/>
      <c r="I591" s="29"/>
    </row>
    <row r="592" spans="1:9" x14ac:dyDescent="0.3">
      <c r="A592" s="34" t="str">
        <f t="shared" si="11"/>
        <v/>
      </c>
      <c r="F592" s="29"/>
      <c r="G592" s="29"/>
      <c r="H592" s="28"/>
      <c r="I592" s="29"/>
    </row>
    <row r="593" spans="1:9" x14ac:dyDescent="0.3">
      <c r="A593" s="34" t="str">
        <f t="shared" si="11"/>
        <v/>
      </c>
      <c r="F593" s="29"/>
      <c r="G593" s="29"/>
      <c r="H593" s="28"/>
      <c r="I593" s="29"/>
    </row>
    <row r="594" spans="1:9" x14ac:dyDescent="0.3">
      <c r="A594" s="34" t="str">
        <f t="shared" si="11"/>
        <v/>
      </c>
      <c r="F594" s="29"/>
      <c r="G594" s="29"/>
      <c r="H594" s="28"/>
      <c r="I594" s="29"/>
    </row>
    <row r="595" spans="1:9" x14ac:dyDescent="0.3">
      <c r="A595" s="34" t="str">
        <f t="shared" si="11"/>
        <v/>
      </c>
      <c r="F595" s="29"/>
      <c r="G595" s="29"/>
      <c r="H595" s="28"/>
      <c r="I595" s="29"/>
    </row>
    <row r="596" spans="1:9" x14ac:dyDescent="0.3">
      <c r="A596" s="34" t="str">
        <f t="shared" si="11"/>
        <v/>
      </c>
      <c r="F596" s="29"/>
      <c r="G596" s="29"/>
      <c r="H596" s="28"/>
      <c r="I596" s="29"/>
    </row>
    <row r="597" spans="1:9" x14ac:dyDescent="0.3">
      <c r="A597" s="34" t="str">
        <f t="shared" si="11"/>
        <v/>
      </c>
      <c r="F597" s="29"/>
      <c r="G597" s="29"/>
      <c r="H597" s="28"/>
      <c r="I597" s="29"/>
    </row>
    <row r="598" spans="1:9" x14ac:dyDescent="0.3">
      <c r="A598" s="34" t="str">
        <f t="shared" si="11"/>
        <v/>
      </c>
      <c r="F598" s="29"/>
      <c r="G598" s="29"/>
      <c r="H598" s="28"/>
      <c r="I598" s="29"/>
    </row>
    <row r="599" spans="1:9" x14ac:dyDescent="0.3">
      <c r="A599" s="34" t="str">
        <f t="shared" si="11"/>
        <v/>
      </c>
      <c r="F599" s="29"/>
      <c r="G599" s="29"/>
      <c r="H599" s="28"/>
      <c r="I599" s="29"/>
    </row>
    <row r="600" spans="1:9" x14ac:dyDescent="0.3">
      <c r="A600" s="34" t="str">
        <f t="shared" si="11"/>
        <v/>
      </c>
      <c r="F600" s="29"/>
      <c r="G600" s="29"/>
      <c r="H600" s="28"/>
      <c r="I600" s="29"/>
    </row>
    <row r="601" spans="1:9" x14ac:dyDescent="0.3">
      <c r="A601" s="34" t="str">
        <f t="shared" si="11"/>
        <v/>
      </c>
      <c r="F601" s="29"/>
      <c r="G601" s="29"/>
      <c r="H601" s="28"/>
      <c r="I601" s="29"/>
    </row>
    <row r="602" spans="1:9" x14ac:dyDescent="0.3">
      <c r="A602" s="34" t="str">
        <f t="shared" si="11"/>
        <v/>
      </c>
      <c r="F602" s="29"/>
      <c r="G602" s="29"/>
      <c r="H602" s="28"/>
      <c r="I602" s="29"/>
    </row>
    <row r="603" spans="1:9" x14ac:dyDescent="0.3">
      <c r="A603" s="34" t="str">
        <f t="shared" si="11"/>
        <v/>
      </c>
      <c r="F603" s="29"/>
      <c r="G603" s="29"/>
      <c r="H603" s="28"/>
      <c r="I603" s="29"/>
    </row>
    <row r="604" spans="1:9" x14ac:dyDescent="0.3">
      <c r="A604" s="34" t="str">
        <f t="shared" si="11"/>
        <v/>
      </c>
      <c r="F604" s="29"/>
      <c r="G604" s="29"/>
      <c r="H604" s="28"/>
      <c r="I604" s="29"/>
    </row>
    <row r="605" spans="1:9" x14ac:dyDescent="0.3">
      <c r="A605" s="34" t="str">
        <f t="shared" si="11"/>
        <v/>
      </c>
      <c r="F605" s="29"/>
      <c r="G605" s="29"/>
      <c r="H605" s="28"/>
      <c r="I605" s="29"/>
    </row>
    <row r="606" spans="1:9" x14ac:dyDescent="0.3">
      <c r="A606" s="34" t="str">
        <f t="shared" si="11"/>
        <v/>
      </c>
      <c r="F606" s="29"/>
      <c r="G606" s="29"/>
      <c r="H606" s="28"/>
      <c r="I606" s="29"/>
    </row>
    <row r="607" spans="1:9" x14ac:dyDescent="0.3">
      <c r="A607" s="34" t="str">
        <f t="shared" si="11"/>
        <v/>
      </c>
      <c r="F607" s="29"/>
      <c r="G607" s="29"/>
      <c r="H607" s="28"/>
      <c r="I607" s="29"/>
    </row>
    <row r="608" spans="1:9" x14ac:dyDescent="0.3">
      <c r="A608" s="34" t="str">
        <f t="shared" si="11"/>
        <v/>
      </c>
      <c r="F608" s="29"/>
      <c r="G608" s="29"/>
      <c r="H608" s="28"/>
      <c r="I608" s="29"/>
    </row>
    <row r="609" spans="1:9" x14ac:dyDescent="0.3">
      <c r="A609" s="34" t="str">
        <f t="shared" si="11"/>
        <v/>
      </c>
      <c r="F609" s="29"/>
      <c r="G609" s="29"/>
      <c r="H609" s="28"/>
      <c r="I609" s="29"/>
    </row>
    <row r="610" spans="1:9" x14ac:dyDescent="0.3">
      <c r="A610" s="34" t="str">
        <f t="shared" si="11"/>
        <v/>
      </c>
      <c r="F610" s="29"/>
      <c r="G610" s="29"/>
      <c r="H610" s="28"/>
      <c r="I610" s="29"/>
    </row>
    <row r="611" spans="1:9" x14ac:dyDescent="0.3">
      <c r="A611" s="34" t="str">
        <f t="shared" si="11"/>
        <v/>
      </c>
      <c r="F611" s="29"/>
      <c r="G611" s="29"/>
      <c r="H611" s="28"/>
      <c r="I611" s="29"/>
    </row>
    <row r="612" spans="1:9" x14ac:dyDescent="0.3">
      <c r="A612" s="34" t="str">
        <f t="shared" si="11"/>
        <v/>
      </c>
      <c r="F612" s="29"/>
      <c r="G612" s="29"/>
      <c r="H612" s="28"/>
      <c r="I612" s="29"/>
    </row>
    <row r="613" spans="1:9" x14ac:dyDescent="0.3">
      <c r="A613" s="34" t="str">
        <f t="shared" si="11"/>
        <v/>
      </c>
      <c r="F613" s="29"/>
      <c r="G613" s="29"/>
      <c r="H613" s="28"/>
      <c r="I613" s="29"/>
    </row>
    <row r="614" spans="1:9" x14ac:dyDescent="0.3">
      <c r="A614" s="34" t="str">
        <f t="shared" si="11"/>
        <v/>
      </c>
      <c r="F614" s="29"/>
      <c r="G614" s="29"/>
      <c r="H614" s="28"/>
      <c r="I614" s="29"/>
    </row>
    <row r="615" spans="1:9" x14ac:dyDescent="0.3">
      <c r="A615" s="34" t="str">
        <f t="shared" si="11"/>
        <v/>
      </c>
      <c r="F615" s="29"/>
      <c r="G615" s="29"/>
      <c r="H615" s="28"/>
      <c r="I615" s="29"/>
    </row>
    <row r="616" spans="1:9" x14ac:dyDescent="0.3">
      <c r="A616" s="34" t="str">
        <f t="shared" si="11"/>
        <v/>
      </c>
      <c r="F616" s="29"/>
      <c r="G616" s="29"/>
      <c r="H616" s="28"/>
      <c r="I616" s="29"/>
    </row>
    <row r="617" spans="1:9" x14ac:dyDescent="0.3">
      <c r="A617" s="34" t="str">
        <f t="shared" si="11"/>
        <v/>
      </c>
      <c r="F617" s="29"/>
      <c r="G617" s="29"/>
      <c r="H617" s="28"/>
      <c r="I617" s="29"/>
    </row>
    <row r="618" spans="1:9" x14ac:dyDescent="0.3">
      <c r="A618" s="34" t="str">
        <f t="shared" si="11"/>
        <v/>
      </c>
      <c r="F618" s="29"/>
      <c r="G618" s="29"/>
      <c r="H618" s="28"/>
      <c r="I618" s="29"/>
    </row>
    <row r="619" spans="1:9" x14ac:dyDescent="0.3">
      <c r="A619" s="34" t="str">
        <f t="shared" si="11"/>
        <v/>
      </c>
      <c r="F619" s="29"/>
      <c r="G619" s="29"/>
      <c r="H619" s="28"/>
      <c r="I619" s="29"/>
    </row>
    <row r="620" spans="1:9" x14ac:dyDescent="0.3">
      <c r="A620" s="34" t="str">
        <f t="shared" si="11"/>
        <v/>
      </c>
      <c r="F620" s="29"/>
      <c r="G620" s="29"/>
      <c r="H620" s="28"/>
      <c r="I620" s="29"/>
    </row>
    <row r="621" spans="1:9" x14ac:dyDescent="0.3">
      <c r="A621" s="34" t="str">
        <f t="shared" si="11"/>
        <v/>
      </c>
      <c r="F621" s="29"/>
      <c r="G621" s="29"/>
      <c r="H621" s="28"/>
      <c r="I621" s="29"/>
    </row>
    <row r="622" spans="1:9" x14ac:dyDescent="0.3">
      <c r="A622" s="34" t="str">
        <f t="shared" si="11"/>
        <v/>
      </c>
      <c r="F622" s="29"/>
      <c r="G622" s="29"/>
      <c r="H622" s="28"/>
      <c r="I622" s="29"/>
    </row>
    <row r="623" spans="1:9" x14ac:dyDescent="0.3">
      <c r="A623" s="34" t="str">
        <f t="shared" si="11"/>
        <v/>
      </c>
      <c r="F623" s="29"/>
      <c r="G623" s="29"/>
      <c r="H623" s="28"/>
      <c r="I623" s="29"/>
    </row>
    <row r="624" spans="1:9" x14ac:dyDescent="0.3">
      <c r="A624" s="34" t="str">
        <f t="shared" si="11"/>
        <v/>
      </c>
      <c r="F624" s="29"/>
      <c r="G624" s="29"/>
      <c r="H624" s="28"/>
      <c r="I624" s="29"/>
    </row>
    <row r="625" spans="1:9" x14ac:dyDescent="0.3">
      <c r="A625" s="34" t="str">
        <f t="shared" si="11"/>
        <v/>
      </c>
      <c r="F625" s="29"/>
      <c r="G625" s="29"/>
      <c r="H625" s="28"/>
      <c r="I625" s="29"/>
    </row>
    <row r="626" spans="1:9" x14ac:dyDescent="0.3">
      <c r="A626" s="34" t="str">
        <f t="shared" si="11"/>
        <v/>
      </c>
      <c r="F626" s="29"/>
      <c r="G626" s="29"/>
      <c r="H626" s="28"/>
      <c r="I626" s="29"/>
    </row>
    <row r="627" spans="1:9" x14ac:dyDescent="0.3">
      <c r="A627" s="34" t="str">
        <f t="shared" si="11"/>
        <v/>
      </c>
      <c r="F627" s="29"/>
      <c r="G627" s="29"/>
      <c r="H627" s="28"/>
      <c r="I627" s="29"/>
    </row>
    <row r="628" spans="1:9" x14ac:dyDescent="0.3">
      <c r="A628" s="34" t="str">
        <f t="shared" si="11"/>
        <v/>
      </c>
      <c r="F628" s="29"/>
      <c r="G628" s="29"/>
      <c r="H628" s="28"/>
      <c r="I628" s="29"/>
    </row>
    <row r="629" spans="1:9" x14ac:dyDescent="0.3">
      <c r="A629" s="34" t="str">
        <f t="shared" si="11"/>
        <v/>
      </c>
      <c r="F629" s="29"/>
      <c r="G629" s="29"/>
      <c r="H629" s="28"/>
      <c r="I629" s="29"/>
    </row>
    <row r="630" spans="1:9" x14ac:dyDescent="0.3">
      <c r="A630" s="34" t="str">
        <f t="shared" si="11"/>
        <v/>
      </c>
      <c r="F630" s="29"/>
      <c r="G630" s="29"/>
      <c r="H630" s="28"/>
      <c r="I630" s="29"/>
    </row>
    <row r="631" spans="1:9" x14ac:dyDescent="0.3">
      <c r="A631" s="34" t="str">
        <f t="shared" si="11"/>
        <v/>
      </c>
      <c r="F631" s="29"/>
      <c r="G631" s="29"/>
      <c r="H631" s="28"/>
      <c r="I631" s="29"/>
    </row>
    <row r="632" spans="1:9" x14ac:dyDescent="0.3">
      <c r="A632" s="34" t="str">
        <f t="shared" si="11"/>
        <v/>
      </c>
      <c r="F632" s="29"/>
      <c r="G632" s="29"/>
      <c r="H632" s="28"/>
      <c r="I632" s="29"/>
    </row>
    <row r="633" spans="1:9" x14ac:dyDescent="0.3">
      <c r="A633" s="34" t="str">
        <f t="shared" si="11"/>
        <v/>
      </c>
      <c r="F633" s="29"/>
      <c r="G633" s="29"/>
      <c r="H633" s="28"/>
      <c r="I633" s="29"/>
    </row>
    <row r="634" spans="1:9" x14ac:dyDescent="0.3">
      <c r="A634" s="34" t="str">
        <f t="shared" si="11"/>
        <v/>
      </c>
      <c r="F634" s="29"/>
      <c r="G634" s="29"/>
      <c r="H634" s="28"/>
      <c r="I634" s="29"/>
    </row>
    <row r="635" spans="1:9" x14ac:dyDescent="0.3">
      <c r="A635" s="34" t="str">
        <f t="shared" si="11"/>
        <v/>
      </c>
      <c r="F635" s="29"/>
      <c r="G635" s="29"/>
      <c r="H635" s="28"/>
      <c r="I635" s="29"/>
    </row>
    <row r="636" spans="1:9" x14ac:dyDescent="0.3">
      <c r="A636" s="34" t="str">
        <f t="shared" si="11"/>
        <v/>
      </c>
      <c r="F636" s="29"/>
      <c r="G636" s="29"/>
      <c r="H636" s="28"/>
      <c r="I636" s="29"/>
    </row>
    <row r="637" spans="1:9" x14ac:dyDescent="0.3">
      <c r="A637" s="34" t="str">
        <f t="shared" si="11"/>
        <v/>
      </c>
      <c r="F637" s="29"/>
      <c r="G637" s="29"/>
      <c r="H637" s="28"/>
      <c r="I637" s="29"/>
    </row>
    <row r="638" spans="1:9" x14ac:dyDescent="0.3">
      <c r="A638" s="34" t="str">
        <f t="shared" si="11"/>
        <v/>
      </c>
      <c r="F638" s="29"/>
      <c r="G638" s="29"/>
      <c r="H638" s="28"/>
      <c r="I638" s="29"/>
    </row>
    <row r="639" spans="1:9" x14ac:dyDescent="0.3">
      <c r="A639" s="34" t="str">
        <f t="shared" si="11"/>
        <v/>
      </c>
      <c r="F639" s="29"/>
      <c r="G639" s="29"/>
      <c r="H639" s="28"/>
      <c r="I639" s="29"/>
    </row>
    <row r="640" spans="1:9" x14ac:dyDescent="0.3">
      <c r="A640" s="34" t="str">
        <f t="shared" si="11"/>
        <v/>
      </c>
      <c r="F640" s="29"/>
      <c r="G640" s="29"/>
      <c r="H640" s="28"/>
      <c r="I640" s="29"/>
    </row>
    <row r="641" spans="1:9" x14ac:dyDescent="0.3">
      <c r="A641" s="34" t="str">
        <f t="shared" si="11"/>
        <v/>
      </c>
      <c r="F641" s="29"/>
      <c r="G641" s="29"/>
      <c r="H641" s="28"/>
      <c r="I641" s="29"/>
    </row>
    <row r="642" spans="1:9" x14ac:dyDescent="0.3">
      <c r="A642" s="34" t="str">
        <f t="shared" si="11"/>
        <v/>
      </c>
      <c r="F642" s="29"/>
      <c r="G642" s="29"/>
      <c r="H642" s="28"/>
      <c r="I642" s="29"/>
    </row>
    <row r="643" spans="1:9" x14ac:dyDescent="0.3">
      <c r="A643" s="34" t="str">
        <f t="shared" si="11"/>
        <v/>
      </c>
      <c r="F643" s="29"/>
      <c r="G643" s="29"/>
      <c r="H643" s="28"/>
      <c r="I643" s="29"/>
    </row>
    <row r="644" spans="1:9" x14ac:dyDescent="0.3">
      <c r="A644" s="34" t="str">
        <f t="shared" si="11"/>
        <v/>
      </c>
      <c r="F644" s="29"/>
      <c r="G644" s="29"/>
      <c r="H644" s="28"/>
      <c r="I644" s="29"/>
    </row>
    <row r="645" spans="1:9" x14ac:dyDescent="0.3">
      <c r="A645" s="34" t="str">
        <f t="shared" si="11"/>
        <v/>
      </c>
      <c r="F645" s="29"/>
      <c r="G645" s="29"/>
      <c r="H645" s="28"/>
      <c r="I645" s="29"/>
    </row>
    <row r="646" spans="1:9" x14ac:dyDescent="0.3">
      <c r="A646" s="34" t="str">
        <f t="shared" si="11"/>
        <v/>
      </c>
      <c r="F646" s="29"/>
      <c r="G646" s="29"/>
      <c r="H646" s="28"/>
      <c r="I646" s="29"/>
    </row>
    <row r="647" spans="1:9" x14ac:dyDescent="0.3">
      <c r="A647" s="34" t="str">
        <f t="shared" si="11"/>
        <v/>
      </c>
      <c r="F647" s="29"/>
      <c r="G647" s="29"/>
      <c r="H647" s="28"/>
      <c r="I647" s="29"/>
    </row>
    <row r="648" spans="1:9" x14ac:dyDescent="0.3">
      <c r="A648" s="34" t="str">
        <f t="shared" si="11"/>
        <v/>
      </c>
      <c r="F648" s="29"/>
      <c r="G648" s="29"/>
      <c r="H648" s="28"/>
      <c r="I648" s="29"/>
    </row>
    <row r="649" spans="1:9" x14ac:dyDescent="0.3">
      <c r="A649" s="34" t="str">
        <f t="shared" si="11"/>
        <v/>
      </c>
      <c r="F649" s="29"/>
      <c r="G649" s="29"/>
      <c r="H649" s="28"/>
      <c r="I649" s="29"/>
    </row>
    <row r="650" spans="1:9" x14ac:dyDescent="0.3">
      <c r="A650" s="34" t="str">
        <f t="shared" si="11"/>
        <v/>
      </c>
      <c r="F650" s="29"/>
      <c r="G650" s="29"/>
      <c r="H650" s="28"/>
      <c r="I650" s="29"/>
    </row>
    <row r="651" spans="1:9" x14ac:dyDescent="0.3">
      <c r="A651" s="34" t="str">
        <f t="shared" si="11"/>
        <v/>
      </c>
      <c r="F651" s="29"/>
      <c r="G651" s="29"/>
      <c r="H651" s="28"/>
      <c r="I651" s="29"/>
    </row>
    <row r="652" spans="1:9" x14ac:dyDescent="0.3">
      <c r="A652" s="34" t="str">
        <f t="shared" si="11"/>
        <v/>
      </c>
      <c r="F652" s="29"/>
      <c r="G652" s="29"/>
      <c r="H652" s="28"/>
      <c r="I652" s="29"/>
    </row>
    <row r="653" spans="1:9" x14ac:dyDescent="0.3">
      <c r="A653" s="34" t="str">
        <f t="shared" si="11"/>
        <v/>
      </c>
      <c r="F653" s="29"/>
      <c r="G653" s="29"/>
      <c r="H653" s="28"/>
      <c r="I653" s="29"/>
    </row>
    <row r="654" spans="1:9" x14ac:dyDescent="0.3">
      <c r="A654" s="34" t="str">
        <f t="shared" si="11"/>
        <v/>
      </c>
      <c r="F654" s="29"/>
      <c r="G654" s="29"/>
      <c r="H654" s="28"/>
      <c r="I654" s="29"/>
    </row>
    <row r="655" spans="1:9" x14ac:dyDescent="0.3">
      <c r="A655" s="34" t="str">
        <f t="shared" ref="A655:A718" si="12">C655&amp;E655</f>
        <v/>
      </c>
      <c r="F655" s="29"/>
      <c r="G655" s="29"/>
      <c r="H655" s="28"/>
      <c r="I655" s="29"/>
    </row>
    <row r="656" spans="1:9" x14ac:dyDescent="0.3">
      <c r="A656" s="34" t="str">
        <f t="shared" si="12"/>
        <v/>
      </c>
      <c r="F656" s="29"/>
      <c r="G656" s="29"/>
      <c r="H656" s="28"/>
      <c r="I656" s="29"/>
    </row>
    <row r="657" spans="1:9" x14ac:dyDescent="0.3">
      <c r="A657" s="34" t="str">
        <f t="shared" si="12"/>
        <v/>
      </c>
      <c r="F657" s="29"/>
      <c r="G657" s="29"/>
      <c r="H657" s="28"/>
      <c r="I657" s="29"/>
    </row>
    <row r="658" spans="1:9" x14ac:dyDescent="0.3">
      <c r="A658" s="34" t="str">
        <f t="shared" si="12"/>
        <v/>
      </c>
      <c r="F658" s="29"/>
      <c r="G658" s="29"/>
      <c r="H658" s="28"/>
      <c r="I658" s="29"/>
    </row>
    <row r="659" spans="1:9" x14ac:dyDescent="0.3">
      <c r="A659" s="34" t="str">
        <f t="shared" si="12"/>
        <v/>
      </c>
      <c r="F659" s="29"/>
      <c r="G659" s="29"/>
      <c r="H659" s="28"/>
      <c r="I659" s="29"/>
    </row>
    <row r="660" spans="1:9" x14ac:dyDescent="0.3">
      <c r="A660" s="34" t="str">
        <f t="shared" si="12"/>
        <v/>
      </c>
      <c r="F660" s="29"/>
      <c r="G660" s="29"/>
      <c r="H660" s="28"/>
      <c r="I660" s="29"/>
    </row>
    <row r="661" spans="1:9" x14ac:dyDescent="0.3">
      <c r="A661" s="34" t="str">
        <f t="shared" si="12"/>
        <v/>
      </c>
      <c r="F661" s="29"/>
      <c r="G661" s="29"/>
      <c r="H661" s="28"/>
      <c r="I661" s="29"/>
    </row>
    <row r="662" spans="1:9" x14ac:dyDescent="0.3">
      <c r="A662" s="34" t="str">
        <f t="shared" si="12"/>
        <v/>
      </c>
      <c r="F662" s="29"/>
      <c r="G662" s="29"/>
      <c r="H662" s="28"/>
      <c r="I662" s="29"/>
    </row>
    <row r="663" spans="1:9" x14ac:dyDescent="0.3">
      <c r="A663" s="34" t="str">
        <f t="shared" si="12"/>
        <v/>
      </c>
      <c r="F663" s="29"/>
      <c r="G663" s="29"/>
      <c r="H663" s="28"/>
      <c r="I663" s="29"/>
    </row>
    <row r="664" spans="1:9" x14ac:dyDescent="0.3">
      <c r="A664" s="34" t="str">
        <f t="shared" si="12"/>
        <v/>
      </c>
      <c r="F664" s="29"/>
      <c r="G664" s="29"/>
      <c r="H664" s="28"/>
      <c r="I664" s="29"/>
    </row>
    <row r="665" spans="1:9" x14ac:dyDescent="0.3">
      <c r="A665" s="34" t="str">
        <f t="shared" si="12"/>
        <v/>
      </c>
      <c r="F665" s="29"/>
      <c r="G665" s="29"/>
      <c r="H665" s="28"/>
      <c r="I665" s="29"/>
    </row>
    <row r="666" spans="1:9" x14ac:dyDescent="0.3">
      <c r="A666" s="34" t="str">
        <f t="shared" si="12"/>
        <v/>
      </c>
      <c r="F666" s="29"/>
      <c r="G666" s="29"/>
      <c r="H666" s="28"/>
      <c r="I666" s="29"/>
    </row>
    <row r="667" spans="1:9" x14ac:dyDescent="0.3">
      <c r="A667" s="34" t="str">
        <f t="shared" si="12"/>
        <v/>
      </c>
      <c r="F667" s="29"/>
      <c r="G667" s="29"/>
      <c r="H667" s="28"/>
      <c r="I667" s="29"/>
    </row>
    <row r="668" spans="1:9" x14ac:dyDescent="0.3">
      <c r="A668" s="34" t="str">
        <f t="shared" si="12"/>
        <v/>
      </c>
      <c r="F668" s="29"/>
      <c r="G668" s="29"/>
      <c r="H668" s="28"/>
      <c r="I668" s="29"/>
    </row>
    <row r="669" spans="1:9" x14ac:dyDescent="0.3">
      <c r="A669" s="34" t="str">
        <f t="shared" si="12"/>
        <v/>
      </c>
      <c r="F669" s="29"/>
      <c r="G669" s="29"/>
      <c r="H669" s="28"/>
      <c r="I669" s="29"/>
    </row>
    <row r="670" spans="1:9" x14ac:dyDescent="0.3">
      <c r="A670" s="34" t="str">
        <f t="shared" si="12"/>
        <v/>
      </c>
      <c r="F670" s="29"/>
      <c r="G670" s="29"/>
      <c r="H670" s="28"/>
      <c r="I670" s="29"/>
    </row>
    <row r="671" spans="1:9" x14ac:dyDescent="0.3">
      <c r="A671" s="34" t="str">
        <f t="shared" si="12"/>
        <v/>
      </c>
      <c r="F671" s="29"/>
      <c r="G671" s="29"/>
      <c r="H671" s="28"/>
      <c r="I671" s="29"/>
    </row>
    <row r="672" spans="1:9" x14ac:dyDescent="0.3">
      <c r="A672" s="34" t="str">
        <f t="shared" si="12"/>
        <v/>
      </c>
      <c r="F672" s="29"/>
      <c r="G672" s="29"/>
      <c r="H672" s="28"/>
      <c r="I672" s="29"/>
    </row>
    <row r="673" spans="1:9" x14ac:dyDescent="0.3">
      <c r="A673" s="34" t="str">
        <f t="shared" si="12"/>
        <v/>
      </c>
      <c r="F673" s="29"/>
      <c r="G673" s="29"/>
      <c r="H673" s="28"/>
      <c r="I673" s="29"/>
    </row>
    <row r="674" spans="1:9" x14ac:dyDescent="0.3">
      <c r="A674" s="34" t="str">
        <f t="shared" si="12"/>
        <v/>
      </c>
      <c r="F674" s="29"/>
      <c r="G674" s="29"/>
      <c r="H674" s="28"/>
      <c r="I674" s="29"/>
    </row>
    <row r="675" spans="1:9" x14ac:dyDescent="0.3">
      <c r="A675" s="34" t="str">
        <f t="shared" si="12"/>
        <v/>
      </c>
      <c r="F675" s="29"/>
      <c r="G675" s="29"/>
      <c r="H675" s="28"/>
      <c r="I675" s="29"/>
    </row>
    <row r="676" spans="1:9" x14ac:dyDescent="0.3">
      <c r="A676" s="34" t="str">
        <f t="shared" si="12"/>
        <v/>
      </c>
      <c r="F676" s="29"/>
      <c r="G676" s="29"/>
      <c r="H676" s="28"/>
      <c r="I676" s="29"/>
    </row>
    <row r="677" spans="1:9" x14ac:dyDescent="0.3">
      <c r="A677" s="34" t="str">
        <f t="shared" si="12"/>
        <v/>
      </c>
      <c r="F677" s="29"/>
      <c r="G677" s="29"/>
      <c r="H677" s="28"/>
      <c r="I677" s="29"/>
    </row>
    <row r="678" spans="1:9" x14ac:dyDescent="0.3">
      <c r="A678" s="34" t="str">
        <f t="shared" si="12"/>
        <v/>
      </c>
      <c r="F678" s="29"/>
      <c r="G678" s="29"/>
      <c r="H678" s="28"/>
      <c r="I678" s="29"/>
    </row>
    <row r="679" spans="1:9" x14ac:dyDescent="0.3">
      <c r="A679" s="34" t="str">
        <f t="shared" si="12"/>
        <v/>
      </c>
      <c r="F679" s="29"/>
      <c r="G679" s="29"/>
      <c r="H679" s="28"/>
      <c r="I679" s="29"/>
    </row>
    <row r="680" spans="1:9" x14ac:dyDescent="0.3">
      <c r="A680" s="34" t="str">
        <f t="shared" si="12"/>
        <v/>
      </c>
      <c r="F680" s="29"/>
      <c r="G680" s="29"/>
      <c r="H680" s="28"/>
      <c r="I680" s="29"/>
    </row>
    <row r="681" spans="1:9" x14ac:dyDescent="0.3">
      <c r="A681" s="34" t="str">
        <f t="shared" si="12"/>
        <v/>
      </c>
      <c r="F681" s="29"/>
      <c r="G681" s="29"/>
      <c r="H681" s="28"/>
      <c r="I681" s="29"/>
    </row>
    <row r="682" spans="1:9" x14ac:dyDescent="0.3">
      <c r="A682" s="34" t="str">
        <f t="shared" si="12"/>
        <v/>
      </c>
      <c r="F682" s="29"/>
      <c r="G682" s="29"/>
      <c r="H682" s="28"/>
      <c r="I682" s="29"/>
    </row>
    <row r="683" spans="1:9" x14ac:dyDescent="0.3">
      <c r="A683" s="34" t="str">
        <f t="shared" si="12"/>
        <v/>
      </c>
      <c r="F683" s="29"/>
      <c r="G683" s="29"/>
      <c r="H683" s="28"/>
      <c r="I683" s="29"/>
    </row>
    <row r="684" spans="1:9" x14ac:dyDescent="0.3">
      <c r="A684" s="34" t="str">
        <f t="shared" si="12"/>
        <v/>
      </c>
      <c r="F684" s="29"/>
      <c r="G684" s="29"/>
      <c r="H684" s="28"/>
      <c r="I684" s="29"/>
    </row>
    <row r="685" spans="1:9" x14ac:dyDescent="0.3">
      <c r="A685" s="34" t="str">
        <f t="shared" si="12"/>
        <v/>
      </c>
      <c r="F685" s="29"/>
      <c r="G685" s="29"/>
      <c r="H685" s="28"/>
      <c r="I685" s="29"/>
    </row>
    <row r="686" spans="1:9" x14ac:dyDescent="0.3">
      <c r="A686" s="34" t="str">
        <f t="shared" si="12"/>
        <v/>
      </c>
      <c r="F686" s="29"/>
      <c r="G686" s="29"/>
      <c r="H686" s="28"/>
      <c r="I686" s="29"/>
    </row>
    <row r="687" spans="1:9" x14ac:dyDescent="0.3">
      <c r="A687" s="34" t="str">
        <f t="shared" si="12"/>
        <v/>
      </c>
      <c r="F687" s="29"/>
      <c r="G687" s="29"/>
      <c r="H687" s="28"/>
      <c r="I687" s="29"/>
    </row>
    <row r="688" spans="1:9" x14ac:dyDescent="0.3">
      <c r="A688" s="34" t="str">
        <f t="shared" si="12"/>
        <v/>
      </c>
      <c r="F688" s="29"/>
      <c r="G688" s="29"/>
      <c r="H688" s="28"/>
      <c r="I688" s="29"/>
    </row>
    <row r="689" spans="1:9" x14ac:dyDescent="0.3">
      <c r="A689" s="34" t="str">
        <f t="shared" si="12"/>
        <v/>
      </c>
      <c r="F689" s="29"/>
      <c r="G689" s="29"/>
      <c r="H689" s="28"/>
      <c r="I689" s="29"/>
    </row>
    <row r="690" spans="1:9" x14ac:dyDescent="0.3">
      <c r="A690" s="34" t="str">
        <f t="shared" si="12"/>
        <v/>
      </c>
      <c r="F690" s="29"/>
      <c r="G690" s="29"/>
      <c r="H690" s="28"/>
      <c r="I690" s="29"/>
    </row>
    <row r="691" spans="1:9" x14ac:dyDescent="0.3">
      <c r="A691" s="34" t="str">
        <f t="shared" si="12"/>
        <v/>
      </c>
      <c r="F691" s="29"/>
      <c r="G691" s="29"/>
      <c r="H691" s="28"/>
      <c r="I691" s="29"/>
    </row>
    <row r="692" spans="1:9" x14ac:dyDescent="0.3">
      <c r="A692" s="34" t="str">
        <f t="shared" si="12"/>
        <v/>
      </c>
      <c r="F692" s="29"/>
      <c r="G692" s="29"/>
      <c r="H692" s="28"/>
      <c r="I692" s="29"/>
    </row>
    <row r="693" spans="1:9" x14ac:dyDescent="0.3">
      <c r="A693" s="34" t="str">
        <f t="shared" si="12"/>
        <v/>
      </c>
      <c r="F693" s="29"/>
      <c r="G693" s="29"/>
      <c r="H693" s="28"/>
      <c r="I693" s="29"/>
    </row>
    <row r="694" spans="1:9" x14ac:dyDescent="0.3">
      <c r="A694" s="34" t="str">
        <f t="shared" si="12"/>
        <v/>
      </c>
      <c r="F694" s="29"/>
      <c r="G694" s="29"/>
      <c r="H694" s="28"/>
      <c r="I694" s="29"/>
    </row>
    <row r="695" spans="1:9" x14ac:dyDescent="0.3">
      <c r="A695" s="34" t="str">
        <f t="shared" si="12"/>
        <v/>
      </c>
      <c r="F695" s="29"/>
      <c r="G695" s="29"/>
      <c r="H695" s="28"/>
      <c r="I695" s="29"/>
    </row>
    <row r="696" spans="1:9" x14ac:dyDescent="0.3">
      <c r="A696" s="34" t="str">
        <f t="shared" si="12"/>
        <v/>
      </c>
      <c r="F696" s="29"/>
      <c r="G696" s="29"/>
      <c r="H696" s="28"/>
      <c r="I696" s="29"/>
    </row>
    <row r="697" spans="1:9" x14ac:dyDescent="0.3">
      <c r="A697" s="34" t="str">
        <f t="shared" si="12"/>
        <v/>
      </c>
      <c r="F697" s="29"/>
      <c r="G697" s="29"/>
      <c r="H697" s="28"/>
      <c r="I697" s="29"/>
    </row>
    <row r="698" spans="1:9" x14ac:dyDescent="0.3">
      <c r="A698" s="34" t="str">
        <f t="shared" si="12"/>
        <v/>
      </c>
      <c r="F698" s="29"/>
      <c r="G698" s="29"/>
      <c r="H698" s="28"/>
      <c r="I698" s="29"/>
    </row>
    <row r="699" spans="1:9" x14ac:dyDescent="0.3">
      <c r="A699" s="34" t="str">
        <f t="shared" si="12"/>
        <v/>
      </c>
      <c r="F699" s="29"/>
      <c r="G699" s="29"/>
      <c r="H699" s="28"/>
      <c r="I699" s="29"/>
    </row>
    <row r="700" spans="1:9" x14ac:dyDescent="0.3">
      <c r="A700" s="34" t="str">
        <f t="shared" si="12"/>
        <v/>
      </c>
      <c r="F700" s="29"/>
      <c r="G700" s="29"/>
      <c r="H700" s="28"/>
      <c r="I700" s="29"/>
    </row>
    <row r="701" spans="1:9" x14ac:dyDescent="0.3">
      <c r="A701" s="34" t="str">
        <f t="shared" si="12"/>
        <v/>
      </c>
      <c r="F701" s="29"/>
      <c r="G701" s="29"/>
      <c r="H701" s="28"/>
      <c r="I701" s="29"/>
    </row>
    <row r="702" spans="1:9" x14ac:dyDescent="0.3">
      <c r="A702" s="34" t="str">
        <f t="shared" si="12"/>
        <v/>
      </c>
      <c r="F702" s="29"/>
      <c r="G702" s="29"/>
      <c r="H702" s="28"/>
      <c r="I702" s="29"/>
    </row>
    <row r="703" spans="1:9" x14ac:dyDescent="0.3">
      <c r="A703" s="34" t="str">
        <f t="shared" si="12"/>
        <v/>
      </c>
      <c r="F703" s="29"/>
      <c r="G703" s="29"/>
      <c r="H703" s="28"/>
      <c r="I703" s="29"/>
    </row>
    <row r="704" spans="1:9" x14ac:dyDescent="0.3">
      <c r="A704" s="34" t="str">
        <f t="shared" si="12"/>
        <v/>
      </c>
      <c r="F704" s="29"/>
      <c r="G704" s="29"/>
      <c r="H704" s="28"/>
      <c r="I704" s="29"/>
    </row>
    <row r="705" spans="1:9" x14ac:dyDescent="0.3">
      <c r="A705" s="34" t="str">
        <f t="shared" si="12"/>
        <v/>
      </c>
      <c r="F705" s="29"/>
      <c r="G705" s="29"/>
      <c r="H705" s="28"/>
      <c r="I705" s="29"/>
    </row>
    <row r="706" spans="1:9" x14ac:dyDescent="0.3">
      <c r="A706" s="34" t="str">
        <f t="shared" si="12"/>
        <v/>
      </c>
      <c r="F706" s="29"/>
      <c r="G706" s="29"/>
      <c r="H706" s="28"/>
      <c r="I706" s="29"/>
    </row>
    <row r="707" spans="1:9" x14ac:dyDescent="0.3">
      <c r="A707" s="34" t="str">
        <f t="shared" si="12"/>
        <v/>
      </c>
      <c r="F707" s="29"/>
      <c r="G707" s="29"/>
      <c r="H707" s="28"/>
      <c r="I707" s="29"/>
    </row>
    <row r="708" spans="1:9" x14ac:dyDescent="0.3">
      <c r="A708" s="34" t="str">
        <f t="shared" si="12"/>
        <v/>
      </c>
      <c r="F708" s="29"/>
      <c r="G708" s="29"/>
      <c r="H708" s="28"/>
      <c r="I708" s="29"/>
    </row>
    <row r="709" spans="1:9" x14ac:dyDescent="0.3">
      <c r="A709" s="34" t="str">
        <f t="shared" si="12"/>
        <v/>
      </c>
      <c r="F709" s="29"/>
      <c r="G709" s="29"/>
      <c r="H709" s="28"/>
      <c r="I709" s="29"/>
    </row>
    <row r="710" spans="1:9" x14ac:dyDescent="0.3">
      <c r="A710" s="34" t="str">
        <f t="shared" si="12"/>
        <v/>
      </c>
      <c r="F710" s="29"/>
      <c r="G710" s="29"/>
      <c r="H710" s="28"/>
      <c r="I710" s="29"/>
    </row>
    <row r="711" spans="1:9" x14ac:dyDescent="0.3">
      <c r="A711" s="34" t="str">
        <f t="shared" si="12"/>
        <v/>
      </c>
      <c r="F711" s="29"/>
      <c r="G711" s="29"/>
      <c r="H711" s="28"/>
      <c r="I711" s="29"/>
    </row>
    <row r="712" spans="1:9" x14ac:dyDescent="0.3">
      <c r="A712" s="34" t="str">
        <f t="shared" si="12"/>
        <v/>
      </c>
      <c r="F712" s="29"/>
      <c r="G712" s="29"/>
      <c r="H712" s="28"/>
      <c r="I712" s="29"/>
    </row>
    <row r="713" spans="1:9" x14ac:dyDescent="0.3">
      <c r="A713" s="34" t="str">
        <f t="shared" si="12"/>
        <v/>
      </c>
      <c r="F713" s="29"/>
      <c r="G713" s="29"/>
      <c r="H713" s="28"/>
      <c r="I713" s="29"/>
    </row>
    <row r="714" spans="1:9" x14ac:dyDescent="0.3">
      <c r="A714" s="34" t="str">
        <f t="shared" si="12"/>
        <v/>
      </c>
      <c r="F714" s="29"/>
      <c r="G714" s="29"/>
      <c r="H714" s="28"/>
      <c r="I714" s="29"/>
    </row>
    <row r="715" spans="1:9" x14ac:dyDescent="0.3">
      <c r="A715" s="34" t="str">
        <f t="shared" si="12"/>
        <v/>
      </c>
      <c r="F715" s="29"/>
      <c r="G715" s="29"/>
      <c r="H715" s="28"/>
      <c r="I715" s="29"/>
    </row>
    <row r="716" spans="1:9" x14ac:dyDescent="0.3">
      <c r="A716" s="34" t="str">
        <f t="shared" si="12"/>
        <v/>
      </c>
      <c r="F716" s="29"/>
      <c r="G716" s="29"/>
      <c r="H716" s="28"/>
      <c r="I716" s="29"/>
    </row>
    <row r="717" spans="1:9" x14ac:dyDescent="0.3">
      <c r="A717" s="34" t="str">
        <f t="shared" si="12"/>
        <v/>
      </c>
      <c r="F717" s="29"/>
      <c r="G717" s="29"/>
      <c r="H717" s="28"/>
      <c r="I717" s="29"/>
    </row>
    <row r="718" spans="1:9" x14ac:dyDescent="0.3">
      <c r="A718" s="34" t="str">
        <f t="shared" si="12"/>
        <v/>
      </c>
      <c r="F718" s="29"/>
      <c r="G718" s="29"/>
      <c r="H718" s="28"/>
      <c r="I718" s="29"/>
    </row>
    <row r="719" spans="1:9" x14ac:dyDescent="0.3">
      <c r="A719" s="34" t="str">
        <f t="shared" ref="A719:A782" si="13">C719&amp;E719</f>
        <v/>
      </c>
      <c r="F719" s="29"/>
      <c r="G719" s="29"/>
      <c r="H719" s="28"/>
      <c r="I719" s="29"/>
    </row>
    <row r="720" spans="1:9" x14ac:dyDescent="0.3">
      <c r="A720" s="34" t="str">
        <f t="shared" si="13"/>
        <v/>
      </c>
      <c r="F720" s="29"/>
      <c r="G720" s="29"/>
      <c r="H720" s="28"/>
      <c r="I720" s="29"/>
    </row>
    <row r="721" spans="1:9" x14ac:dyDescent="0.3">
      <c r="A721" s="34" t="str">
        <f t="shared" si="13"/>
        <v/>
      </c>
      <c r="F721" s="29"/>
      <c r="G721" s="29"/>
      <c r="H721" s="28"/>
      <c r="I721" s="29"/>
    </row>
    <row r="722" spans="1:9" x14ac:dyDescent="0.3">
      <c r="A722" s="34" t="str">
        <f t="shared" si="13"/>
        <v/>
      </c>
      <c r="F722" s="29"/>
      <c r="G722" s="29"/>
      <c r="H722" s="28"/>
      <c r="I722" s="29"/>
    </row>
    <row r="723" spans="1:9" x14ac:dyDescent="0.3">
      <c r="A723" s="34" t="str">
        <f t="shared" si="13"/>
        <v/>
      </c>
      <c r="F723" s="29"/>
      <c r="G723" s="29"/>
      <c r="H723" s="28"/>
      <c r="I723" s="29"/>
    </row>
    <row r="724" spans="1:9" x14ac:dyDescent="0.3">
      <c r="A724" s="34" t="str">
        <f t="shared" si="13"/>
        <v/>
      </c>
      <c r="F724" s="29"/>
      <c r="G724" s="29"/>
      <c r="H724" s="28"/>
      <c r="I724" s="29"/>
    </row>
    <row r="725" spans="1:9" x14ac:dyDescent="0.3">
      <c r="A725" s="34" t="str">
        <f t="shared" si="13"/>
        <v/>
      </c>
      <c r="F725" s="29"/>
      <c r="G725" s="29"/>
      <c r="H725" s="28"/>
      <c r="I725" s="29"/>
    </row>
    <row r="726" spans="1:9" x14ac:dyDescent="0.3">
      <c r="A726" s="34" t="str">
        <f t="shared" si="13"/>
        <v/>
      </c>
      <c r="F726" s="29"/>
      <c r="G726" s="29"/>
      <c r="H726" s="28"/>
      <c r="I726" s="29"/>
    </row>
    <row r="727" spans="1:9" x14ac:dyDescent="0.3">
      <c r="A727" s="34" t="str">
        <f t="shared" si="13"/>
        <v/>
      </c>
      <c r="F727" s="29"/>
      <c r="G727" s="29"/>
      <c r="H727" s="28"/>
      <c r="I727" s="29"/>
    </row>
    <row r="728" spans="1:9" x14ac:dyDescent="0.3">
      <c r="A728" s="34" t="str">
        <f t="shared" si="13"/>
        <v/>
      </c>
      <c r="F728" s="29"/>
      <c r="G728" s="29"/>
      <c r="H728" s="28"/>
      <c r="I728" s="29"/>
    </row>
    <row r="729" spans="1:9" x14ac:dyDescent="0.3">
      <c r="A729" s="34" t="str">
        <f t="shared" si="13"/>
        <v/>
      </c>
      <c r="F729" s="29"/>
      <c r="G729" s="29"/>
      <c r="H729" s="28"/>
      <c r="I729" s="29"/>
    </row>
    <row r="730" spans="1:9" x14ac:dyDescent="0.3">
      <c r="A730" s="34" t="str">
        <f t="shared" si="13"/>
        <v/>
      </c>
      <c r="F730" s="29"/>
      <c r="G730" s="29"/>
      <c r="H730" s="28"/>
      <c r="I730" s="29"/>
    </row>
    <row r="731" spans="1:9" x14ac:dyDescent="0.3">
      <c r="A731" s="34" t="str">
        <f t="shared" si="13"/>
        <v/>
      </c>
      <c r="F731" s="29"/>
      <c r="G731" s="29"/>
      <c r="H731" s="28"/>
      <c r="I731" s="29"/>
    </row>
    <row r="732" spans="1:9" x14ac:dyDescent="0.3">
      <c r="A732" s="34" t="str">
        <f t="shared" si="13"/>
        <v/>
      </c>
      <c r="F732" s="29"/>
      <c r="G732" s="29"/>
      <c r="H732" s="28"/>
      <c r="I732" s="29"/>
    </row>
    <row r="733" spans="1:9" x14ac:dyDescent="0.3">
      <c r="A733" s="34" t="str">
        <f t="shared" si="13"/>
        <v/>
      </c>
      <c r="F733" s="29"/>
      <c r="G733" s="29"/>
      <c r="H733" s="28"/>
      <c r="I733" s="29"/>
    </row>
    <row r="734" spans="1:9" x14ac:dyDescent="0.3">
      <c r="A734" s="34" t="str">
        <f t="shared" si="13"/>
        <v/>
      </c>
      <c r="F734" s="29"/>
      <c r="G734" s="29"/>
      <c r="H734" s="28"/>
      <c r="I734" s="29"/>
    </row>
    <row r="735" spans="1:9" x14ac:dyDescent="0.3">
      <c r="A735" s="34" t="str">
        <f t="shared" si="13"/>
        <v/>
      </c>
      <c r="F735" s="29"/>
      <c r="G735" s="29"/>
      <c r="H735" s="28"/>
      <c r="I735" s="29"/>
    </row>
    <row r="736" spans="1:9" x14ac:dyDescent="0.3">
      <c r="A736" s="34" t="str">
        <f t="shared" si="13"/>
        <v/>
      </c>
      <c r="F736" s="29"/>
      <c r="G736" s="29"/>
      <c r="H736" s="28"/>
      <c r="I736" s="29"/>
    </row>
    <row r="737" spans="1:9" x14ac:dyDescent="0.3">
      <c r="A737" s="34" t="str">
        <f t="shared" si="13"/>
        <v/>
      </c>
      <c r="F737" s="29"/>
      <c r="G737" s="29"/>
      <c r="H737" s="28"/>
      <c r="I737" s="29"/>
    </row>
    <row r="738" spans="1:9" x14ac:dyDescent="0.3">
      <c r="A738" s="34" t="str">
        <f t="shared" si="13"/>
        <v/>
      </c>
      <c r="F738" s="29"/>
      <c r="G738" s="29"/>
      <c r="H738" s="28"/>
      <c r="I738" s="29"/>
    </row>
    <row r="739" spans="1:9" x14ac:dyDescent="0.3">
      <c r="A739" s="34" t="str">
        <f t="shared" si="13"/>
        <v/>
      </c>
      <c r="F739" s="29"/>
      <c r="G739" s="29"/>
      <c r="H739" s="28"/>
      <c r="I739" s="29"/>
    </row>
    <row r="740" spans="1:9" x14ac:dyDescent="0.3">
      <c r="A740" s="34" t="str">
        <f t="shared" si="13"/>
        <v/>
      </c>
      <c r="F740" s="29"/>
      <c r="G740" s="29"/>
      <c r="H740" s="28"/>
      <c r="I740" s="29"/>
    </row>
    <row r="741" spans="1:9" x14ac:dyDescent="0.3">
      <c r="A741" s="34" t="str">
        <f t="shared" si="13"/>
        <v/>
      </c>
      <c r="F741" s="29"/>
      <c r="G741" s="29"/>
      <c r="H741" s="28"/>
      <c r="I741" s="29"/>
    </row>
    <row r="742" spans="1:9" x14ac:dyDescent="0.3">
      <c r="A742" s="34" t="str">
        <f t="shared" si="13"/>
        <v/>
      </c>
      <c r="F742" s="29"/>
      <c r="G742" s="29"/>
      <c r="H742" s="28"/>
      <c r="I742" s="29"/>
    </row>
    <row r="743" spans="1:9" x14ac:dyDescent="0.3">
      <c r="A743" s="34" t="str">
        <f t="shared" si="13"/>
        <v/>
      </c>
      <c r="F743" s="29"/>
      <c r="G743" s="29"/>
      <c r="H743" s="28"/>
      <c r="I743" s="29"/>
    </row>
    <row r="744" spans="1:9" x14ac:dyDescent="0.3">
      <c r="A744" s="34" t="str">
        <f t="shared" si="13"/>
        <v/>
      </c>
      <c r="F744" s="29"/>
      <c r="G744" s="29"/>
      <c r="H744" s="28"/>
      <c r="I744" s="29"/>
    </row>
    <row r="745" spans="1:9" x14ac:dyDescent="0.3">
      <c r="A745" s="34" t="str">
        <f t="shared" si="13"/>
        <v/>
      </c>
      <c r="F745" s="29"/>
      <c r="G745" s="29"/>
      <c r="H745" s="28"/>
      <c r="I745" s="29"/>
    </row>
    <row r="746" spans="1:9" x14ac:dyDescent="0.3">
      <c r="A746" s="34" t="str">
        <f t="shared" si="13"/>
        <v/>
      </c>
      <c r="F746" s="29"/>
      <c r="G746" s="29"/>
      <c r="H746" s="28"/>
      <c r="I746" s="29"/>
    </row>
    <row r="747" spans="1:9" x14ac:dyDescent="0.3">
      <c r="A747" s="34" t="str">
        <f t="shared" si="13"/>
        <v/>
      </c>
      <c r="F747" s="29"/>
      <c r="G747" s="29"/>
      <c r="H747" s="28"/>
      <c r="I747" s="29"/>
    </row>
    <row r="748" spans="1:9" x14ac:dyDescent="0.3">
      <c r="A748" s="34" t="str">
        <f t="shared" si="13"/>
        <v/>
      </c>
      <c r="F748" s="29"/>
      <c r="G748" s="29"/>
      <c r="H748" s="28"/>
      <c r="I748" s="29"/>
    </row>
    <row r="749" spans="1:9" x14ac:dyDescent="0.3">
      <c r="A749" s="34" t="str">
        <f t="shared" si="13"/>
        <v/>
      </c>
      <c r="F749" s="29"/>
      <c r="G749" s="29"/>
      <c r="H749" s="28"/>
      <c r="I749" s="29"/>
    </row>
    <row r="750" spans="1:9" x14ac:dyDescent="0.3">
      <c r="A750" s="34" t="str">
        <f t="shared" si="13"/>
        <v/>
      </c>
      <c r="F750" s="29"/>
      <c r="G750" s="29"/>
      <c r="H750" s="28"/>
      <c r="I750" s="29"/>
    </row>
    <row r="751" spans="1:9" x14ac:dyDescent="0.3">
      <c r="A751" s="34" t="str">
        <f t="shared" si="13"/>
        <v/>
      </c>
      <c r="F751" s="29"/>
      <c r="G751" s="29"/>
      <c r="H751" s="28"/>
      <c r="I751" s="29"/>
    </row>
    <row r="752" spans="1:9" x14ac:dyDescent="0.3">
      <c r="A752" s="34" t="str">
        <f t="shared" si="13"/>
        <v/>
      </c>
      <c r="F752" s="29"/>
      <c r="G752" s="29"/>
      <c r="H752" s="28"/>
      <c r="I752" s="29"/>
    </row>
    <row r="753" spans="1:9" x14ac:dyDescent="0.3">
      <c r="A753" s="34" t="str">
        <f t="shared" si="13"/>
        <v/>
      </c>
      <c r="F753" s="29"/>
      <c r="G753" s="29"/>
      <c r="H753" s="28"/>
      <c r="I753" s="29"/>
    </row>
    <row r="754" spans="1:9" x14ac:dyDescent="0.3">
      <c r="A754" s="34" t="str">
        <f t="shared" si="13"/>
        <v/>
      </c>
      <c r="F754" s="29"/>
      <c r="G754" s="29"/>
      <c r="H754" s="28"/>
      <c r="I754" s="29"/>
    </row>
    <row r="755" spans="1:9" x14ac:dyDescent="0.3">
      <c r="A755" s="34" t="str">
        <f t="shared" si="13"/>
        <v/>
      </c>
      <c r="F755" s="29"/>
      <c r="G755" s="29"/>
      <c r="H755" s="28"/>
      <c r="I755" s="29"/>
    </row>
    <row r="756" spans="1:9" x14ac:dyDescent="0.3">
      <c r="A756" s="34" t="str">
        <f t="shared" si="13"/>
        <v/>
      </c>
      <c r="F756" s="29"/>
      <c r="G756" s="29"/>
      <c r="H756" s="28"/>
      <c r="I756" s="29"/>
    </row>
    <row r="757" spans="1:9" x14ac:dyDescent="0.3">
      <c r="A757" s="34" t="str">
        <f t="shared" si="13"/>
        <v/>
      </c>
      <c r="F757" s="29"/>
      <c r="G757" s="29"/>
      <c r="H757" s="28"/>
      <c r="I757" s="29"/>
    </row>
    <row r="758" spans="1:9" x14ac:dyDescent="0.3">
      <c r="A758" s="34" t="str">
        <f t="shared" si="13"/>
        <v/>
      </c>
      <c r="F758" s="29"/>
      <c r="G758" s="29"/>
      <c r="H758" s="28"/>
      <c r="I758" s="29"/>
    </row>
    <row r="759" spans="1:9" x14ac:dyDescent="0.3">
      <c r="A759" s="34" t="str">
        <f t="shared" si="13"/>
        <v/>
      </c>
      <c r="F759" s="29"/>
      <c r="G759" s="29"/>
      <c r="H759" s="28"/>
      <c r="I759" s="29"/>
    </row>
    <row r="760" spans="1:9" x14ac:dyDescent="0.3">
      <c r="A760" s="34" t="str">
        <f t="shared" si="13"/>
        <v/>
      </c>
      <c r="F760" s="29"/>
      <c r="G760" s="29"/>
      <c r="H760" s="28"/>
      <c r="I760" s="29"/>
    </row>
    <row r="761" spans="1:9" x14ac:dyDescent="0.3">
      <c r="A761" s="34" t="str">
        <f t="shared" si="13"/>
        <v/>
      </c>
      <c r="F761" s="29"/>
      <c r="G761" s="29"/>
      <c r="H761" s="28"/>
      <c r="I761" s="29"/>
    </row>
    <row r="762" spans="1:9" x14ac:dyDescent="0.3">
      <c r="A762" s="34" t="str">
        <f t="shared" si="13"/>
        <v/>
      </c>
      <c r="F762" s="29"/>
      <c r="G762" s="29"/>
      <c r="H762" s="28"/>
      <c r="I762" s="29"/>
    </row>
    <row r="763" spans="1:9" x14ac:dyDescent="0.3">
      <c r="A763" s="34" t="str">
        <f t="shared" si="13"/>
        <v/>
      </c>
      <c r="F763" s="29"/>
      <c r="G763" s="29"/>
      <c r="H763" s="28"/>
      <c r="I763" s="29"/>
    </row>
    <row r="764" spans="1:9" x14ac:dyDescent="0.3">
      <c r="A764" s="34" t="str">
        <f t="shared" si="13"/>
        <v/>
      </c>
      <c r="F764" s="29"/>
      <c r="G764" s="29"/>
      <c r="H764" s="28"/>
      <c r="I764" s="29"/>
    </row>
    <row r="765" spans="1:9" x14ac:dyDescent="0.3">
      <c r="A765" s="34" t="str">
        <f t="shared" si="13"/>
        <v/>
      </c>
      <c r="F765" s="29"/>
      <c r="G765" s="29"/>
      <c r="H765" s="28"/>
      <c r="I765" s="29"/>
    </row>
    <row r="766" spans="1:9" x14ac:dyDescent="0.3">
      <c r="A766" s="34" t="str">
        <f t="shared" si="13"/>
        <v/>
      </c>
      <c r="F766" s="29"/>
      <c r="G766" s="29"/>
      <c r="H766" s="28"/>
      <c r="I766" s="29"/>
    </row>
    <row r="767" spans="1:9" x14ac:dyDescent="0.3">
      <c r="A767" s="34" t="str">
        <f t="shared" si="13"/>
        <v/>
      </c>
      <c r="F767" s="29"/>
      <c r="G767" s="29"/>
      <c r="H767" s="28"/>
      <c r="I767" s="29"/>
    </row>
    <row r="768" spans="1:9" x14ac:dyDescent="0.3">
      <c r="A768" s="34" t="str">
        <f t="shared" si="13"/>
        <v/>
      </c>
      <c r="F768" s="29"/>
      <c r="G768" s="29"/>
      <c r="H768" s="28"/>
      <c r="I768" s="29"/>
    </row>
    <row r="769" spans="1:9" x14ac:dyDescent="0.3">
      <c r="A769" s="34" t="str">
        <f t="shared" si="13"/>
        <v/>
      </c>
      <c r="F769" s="29"/>
      <c r="G769" s="29"/>
      <c r="H769" s="28"/>
      <c r="I769" s="29"/>
    </row>
    <row r="770" spans="1:9" x14ac:dyDescent="0.3">
      <c r="A770" s="34" t="str">
        <f t="shared" si="13"/>
        <v/>
      </c>
      <c r="F770" s="29"/>
      <c r="G770" s="29"/>
      <c r="H770" s="28"/>
      <c r="I770" s="29"/>
    </row>
    <row r="771" spans="1:9" x14ac:dyDescent="0.3">
      <c r="A771" s="34" t="str">
        <f t="shared" si="13"/>
        <v/>
      </c>
      <c r="F771" s="29"/>
      <c r="G771" s="29"/>
      <c r="H771" s="28"/>
      <c r="I771" s="29"/>
    </row>
    <row r="772" spans="1:9" x14ac:dyDescent="0.3">
      <c r="A772" s="34" t="str">
        <f t="shared" si="13"/>
        <v/>
      </c>
      <c r="F772" s="29"/>
      <c r="G772" s="29"/>
      <c r="H772" s="28"/>
      <c r="I772" s="29"/>
    </row>
    <row r="773" spans="1:9" x14ac:dyDescent="0.3">
      <c r="A773" s="34" t="str">
        <f t="shared" si="13"/>
        <v/>
      </c>
      <c r="F773" s="29"/>
      <c r="G773" s="29"/>
      <c r="H773" s="28"/>
      <c r="I773" s="29"/>
    </row>
    <row r="774" spans="1:9" x14ac:dyDescent="0.3">
      <c r="A774" s="34" t="str">
        <f t="shared" si="13"/>
        <v/>
      </c>
      <c r="F774" s="29"/>
      <c r="G774" s="29"/>
      <c r="H774" s="28"/>
      <c r="I774" s="29"/>
    </row>
    <row r="775" spans="1:9" x14ac:dyDescent="0.3">
      <c r="A775" s="34" t="str">
        <f t="shared" si="13"/>
        <v/>
      </c>
      <c r="F775" s="29"/>
      <c r="G775" s="29"/>
      <c r="H775" s="28"/>
      <c r="I775" s="29"/>
    </row>
    <row r="776" spans="1:9" x14ac:dyDescent="0.3">
      <c r="A776" s="34" t="str">
        <f t="shared" si="13"/>
        <v/>
      </c>
      <c r="F776" s="29"/>
      <c r="G776" s="29"/>
      <c r="H776" s="28"/>
      <c r="I776" s="29"/>
    </row>
    <row r="777" spans="1:9" x14ac:dyDescent="0.3">
      <c r="A777" s="34" t="str">
        <f t="shared" si="13"/>
        <v/>
      </c>
      <c r="F777" s="29"/>
      <c r="G777" s="29"/>
      <c r="H777" s="28"/>
      <c r="I777" s="29"/>
    </row>
    <row r="778" spans="1:9" x14ac:dyDescent="0.3">
      <c r="A778" s="34" t="str">
        <f t="shared" si="13"/>
        <v/>
      </c>
      <c r="F778" s="29"/>
      <c r="G778" s="29"/>
      <c r="H778" s="28"/>
      <c r="I778" s="29"/>
    </row>
    <row r="779" spans="1:9" x14ac:dyDescent="0.3">
      <c r="A779" s="34" t="str">
        <f t="shared" si="13"/>
        <v/>
      </c>
      <c r="F779" s="29"/>
      <c r="G779" s="29"/>
      <c r="H779" s="28"/>
      <c r="I779" s="29"/>
    </row>
    <row r="780" spans="1:9" x14ac:dyDescent="0.3">
      <c r="A780" s="34" t="str">
        <f t="shared" si="13"/>
        <v/>
      </c>
      <c r="F780" s="29"/>
      <c r="G780" s="29"/>
      <c r="H780" s="28"/>
      <c r="I780" s="29"/>
    </row>
    <row r="781" spans="1:9" x14ac:dyDescent="0.3">
      <c r="A781" s="34" t="str">
        <f t="shared" si="13"/>
        <v/>
      </c>
      <c r="F781" s="29"/>
      <c r="G781" s="29"/>
      <c r="H781" s="28"/>
      <c r="I781" s="29"/>
    </row>
    <row r="782" spans="1:9" x14ac:dyDescent="0.3">
      <c r="A782" s="34" t="str">
        <f t="shared" si="13"/>
        <v/>
      </c>
      <c r="F782" s="29"/>
      <c r="G782" s="29"/>
      <c r="H782" s="28"/>
      <c r="I782" s="29"/>
    </row>
    <row r="783" spans="1:9" x14ac:dyDescent="0.3">
      <c r="A783" s="34" t="str">
        <f t="shared" ref="A783:A846" si="14">C783&amp;E783</f>
        <v/>
      </c>
      <c r="F783" s="29"/>
      <c r="G783" s="29"/>
      <c r="H783" s="28"/>
      <c r="I783" s="29"/>
    </row>
    <row r="784" spans="1:9" x14ac:dyDescent="0.3">
      <c r="A784" s="34" t="str">
        <f t="shared" si="14"/>
        <v/>
      </c>
      <c r="F784" s="29"/>
      <c r="G784" s="29"/>
      <c r="H784" s="28"/>
      <c r="I784" s="29"/>
    </row>
    <row r="785" spans="1:9" x14ac:dyDescent="0.3">
      <c r="A785" s="34" t="str">
        <f t="shared" si="14"/>
        <v/>
      </c>
      <c r="F785" s="29"/>
      <c r="G785" s="29"/>
      <c r="H785" s="28"/>
      <c r="I785" s="29"/>
    </row>
    <row r="786" spans="1:9" x14ac:dyDescent="0.3">
      <c r="A786" s="34" t="str">
        <f t="shared" si="14"/>
        <v/>
      </c>
      <c r="F786" s="29"/>
      <c r="G786" s="29"/>
      <c r="H786" s="28"/>
      <c r="I786" s="29"/>
    </row>
    <row r="787" spans="1:9" x14ac:dyDescent="0.3">
      <c r="A787" s="34" t="str">
        <f t="shared" si="14"/>
        <v/>
      </c>
      <c r="F787" s="29"/>
      <c r="G787" s="29"/>
      <c r="H787" s="28"/>
      <c r="I787" s="29"/>
    </row>
    <row r="788" spans="1:9" x14ac:dyDescent="0.3">
      <c r="A788" s="34" t="str">
        <f t="shared" si="14"/>
        <v/>
      </c>
      <c r="F788" s="29"/>
      <c r="G788" s="29"/>
      <c r="H788" s="28"/>
      <c r="I788" s="29"/>
    </row>
    <row r="789" spans="1:9" x14ac:dyDescent="0.3">
      <c r="A789" s="34" t="str">
        <f t="shared" si="14"/>
        <v/>
      </c>
      <c r="F789" s="29"/>
      <c r="G789" s="29"/>
      <c r="H789" s="28"/>
      <c r="I789" s="29"/>
    </row>
    <row r="790" spans="1:9" x14ac:dyDescent="0.3">
      <c r="A790" s="34" t="str">
        <f t="shared" si="14"/>
        <v/>
      </c>
      <c r="F790" s="29"/>
      <c r="G790" s="29"/>
      <c r="H790" s="28"/>
      <c r="I790" s="29"/>
    </row>
    <row r="791" spans="1:9" x14ac:dyDescent="0.3">
      <c r="A791" s="34" t="str">
        <f t="shared" si="14"/>
        <v/>
      </c>
      <c r="F791" s="29"/>
      <c r="G791" s="29"/>
      <c r="H791" s="28"/>
      <c r="I791" s="29"/>
    </row>
    <row r="792" spans="1:9" x14ac:dyDescent="0.3">
      <c r="A792" s="34" t="str">
        <f t="shared" si="14"/>
        <v/>
      </c>
      <c r="F792" s="29"/>
      <c r="G792" s="29"/>
      <c r="H792" s="28"/>
      <c r="I792" s="29"/>
    </row>
    <row r="793" spans="1:9" x14ac:dyDescent="0.3">
      <c r="A793" s="34" t="str">
        <f t="shared" si="14"/>
        <v/>
      </c>
      <c r="F793" s="29"/>
      <c r="G793" s="29"/>
      <c r="H793" s="28"/>
      <c r="I793" s="29"/>
    </row>
    <row r="794" spans="1:9" x14ac:dyDescent="0.3">
      <c r="A794" s="34" t="str">
        <f t="shared" si="14"/>
        <v/>
      </c>
      <c r="F794" s="29"/>
      <c r="G794" s="29"/>
      <c r="H794" s="28"/>
      <c r="I794" s="29"/>
    </row>
    <row r="795" spans="1:9" x14ac:dyDescent="0.3">
      <c r="A795" s="34" t="str">
        <f t="shared" si="14"/>
        <v/>
      </c>
      <c r="F795" s="29"/>
      <c r="G795" s="29"/>
      <c r="H795" s="28"/>
      <c r="I795" s="29"/>
    </row>
    <row r="796" spans="1:9" x14ac:dyDescent="0.3">
      <c r="A796" s="34" t="str">
        <f t="shared" si="14"/>
        <v/>
      </c>
      <c r="F796" s="29"/>
      <c r="G796" s="29"/>
      <c r="H796" s="28"/>
      <c r="I796" s="29"/>
    </row>
    <row r="797" spans="1:9" x14ac:dyDescent="0.3">
      <c r="A797" s="34" t="str">
        <f t="shared" si="14"/>
        <v/>
      </c>
      <c r="F797" s="29"/>
      <c r="G797" s="29"/>
      <c r="H797" s="28"/>
      <c r="I797" s="29"/>
    </row>
    <row r="798" spans="1:9" x14ac:dyDescent="0.3">
      <c r="A798" s="34" t="str">
        <f t="shared" si="14"/>
        <v/>
      </c>
      <c r="F798" s="29"/>
      <c r="G798" s="29"/>
      <c r="H798" s="28"/>
      <c r="I798" s="29"/>
    </row>
    <row r="799" spans="1:9" x14ac:dyDescent="0.3">
      <c r="A799" s="34" t="str">
        <f t="shared" si="14"/>
        <v/>
      </c>
      <c r="F799" s="29"/>
      <c r="G799" s="29"/>
      <c r="H799" s="28"/>
      <c r="I799" s="29"/>
    </row>
    <row r="800" spans="1:9" x14ac:dyDescent="0.3">
      <c r="A800" s="34" t="str">
        <f t="shared" si="14"/>
        <v/>
      </c>
      <c r="F800" s="29"/>
      <c r="G800" s="29"/>
      <c r="H800" s="28"/>
      <c r="I800" s="29"/>
    </row>
    <row r="801" spans="1:9" x14ac:dyDescent="0.3">
      <c r="A801" s="34" t="str">
        <f t="shared" si="14"/>
        <v/>
      </c>
      <c r="F801" s="29"/>
      <c r="G801" s="29"/>
      <c r="H801" s="28"/>
      <c r="I801" s="29"/>
    </row>
    <row r="802" spans="1:9" x14ac:dyDescent="0.3">
      <c r="A802" s="34" t="str">
        <f t="shared" si="14"/>
        <v/>
      </c>
      <c r="F802" s="29"/>
      <c r="G802" s="29"/>
      <c r="H802" s="28"/>
      <c r="I802" s="29"/>
    </row>
    <row r="803" spans="1:9" x14ac:dyDescent="0.3">
      <c r="A803" s="34" t="str">
        <f t="shared" si="14"/>
        <v/>
      </c>
      <c r="F803" s="29"/>
      <c r="G803" s="29"/>
      <c r="H803" s="28"/>
      <c r="I803" s="29"/>
    </row>
    <row r="804" spans="1:9" x14ac:dyDescent="0.3">
      <c r="A804" s="34" t="str">
        <f t="shared" si="14"/>
        <v/>
      </c>
      <c r="F804" s="29"/>
      <c r="G804" s="29"/>
      <c r="H804" s="28"/>
      <c r="I804" s="29"/>
    </row>
    <row r="805" spans="1:9" x14ac:dyDescent="0.3">
      <c r="A805" s="34" t="str">
        <f t="shared" si="14"/>
        <v/>
      </c>
      <c r="F805" s="29"/>
      <c r="G805" s="29"/>
      <c r="H805" s="28"/>
      <c r="I805" s="29"/>
    </row>
    <row r="806" spans="1:9" x14ac:dyDescent="0.3">
      <c r="A806" s="34" t="str">
        <f t="shared" si="14"/>
        <v/>
      </c>
      <c r="F806" s="29"/>
      <c r="G806" s="29"/>
      <c r="H806" s="28"/>
      <c r="I806" s="29"/>
    </row>
    <row r="807" spans="1:9" x14ac:dyDescent="0.3">
      <c r="A807" s="34" t="str">
        <f t="shared" si="14"/>
        <v/>
      </c>
      <c r="F807" s="29"/>
      <c r="G807" s="29"/>
      <c r="H807" s="28"/>
      <c r="I807" s="29"/>
    </row>
    <row r="808" spans="1:9" x14ac:dyDescent="0.3">
      <c r="A808" s="34" t="str">
        <f t="shared" si="14"/>
        <v/>
      </c>
      <c r="F808" s="29"/>
      <c r="G808" s="29"/>
      <c r="H808" s="28"/>
      <c r="I808" s="29"/>
    </row>
    <row r="809" spans="1:9" x14ac:dyDescent="0.3">
      <c r="A809" s="34" t="str">
        <f t="shared" si="14"/>
        <v/>
      </c>
      <c r="F809" s="29"/>
      <c r="G809" s="29"/>
      <c r="H809" s="28"/>
      <c r="I809" s="29"/>
    </row>
    <row r="810" spans="1:9" x14ac:dyDescent="0.3">
      <c r="A810" s="34" t="str">
        <f t="shared" si="14"/>
        <v/>
      </c>
      <c r="F810" s="29"/>
      <c r="G810" s="29"/>
      <c r="H810" s="28"/>
      <c r="I810" s="29"/>
    </row>
    <row r="811" spans="1:9" x14ac:dyDescent="0.3">
      <c r="A811" s="34" t="str">
        <f t="shared" si="14"/>
        <v/>
      </c>
      <c r="F811" s="29"/>
      <c r="G811" s="29"/>
      <c r="H811" s="28"/>
      <c r="I811" s="29"/>
    </row>
    <row r="812" spans="1:9" x14ac:dyDescent="0.3">
      <c r="A812" s="34" t="str">
        <f t="shared" si="14"/>
        <v/>
      </c>
      <c r="F812" s="29"/>
      <c r="G812" s="29"/>
      <c r="H812" s="28"/>
      <c r="I812" s="29"/>
    </row>
    <row r="813" spans="1:9" x14ac:dyDescent="0.3">
      <c r="A813" s="34" t="str">
        <f t="shared" si="14"/>
        <v/>
      </c>
      <c r="F813" s="29"/>
      <c r="G813" s="29"/>
      <c r="H813" s="28"/>
      <c r="I813" s="29"/>
    </row>
    <row r="814" spans="1:9" x14ac:dyDescent="0.3">
      <c r="A814" s="34" t="str">
        <f t="shared" si="14"/>
        <v/>
      </c>
      <c r="F814" s="29"/>
      <c r="G814" s="29"/>
      <c r="H814" s="28"/>
      <c r="I814" s="29"/>
    </row>
    <row r="815" spans="1:9" x14ac:dyDescent="0.3">
      <c r="A815" s="34" t="str">
        <f t="shared" si="14"/>
        <v/>
      </c>
      <c r="F815" s="29"/>
      <c r="G815" s="29"/>
      <c r="H815" s="28"/>
      <c r="I815" s="29"/>
    </row>
    <row r="816" spans="1:9" x14ac:dyDescent="0.3">
      <c r="A816" s="34" t="str">
        <f t="shared" si="14"/>
        <v/>
      </c>
      <c r="F816" s="29"/>
      <c r="G816" s="29"/>
      <c r="H816" s="28"/>
      <c r="I816" s="29"/>
    </row>
    <row r="817" spans="1:9" x14ac:dyDescent="0.3">
      <c r="A817" s="34" t="str">
        <f t="shared" si="14"/>
        <v/>
      </c>
      <c r="F817" s="29"/>
      <c r="G817" s="29"/>
      <c r="H817" s="28"/>
      <c r="I817" s="29"/>
    </row>
    <row r="818" spans="1:9" x14ac:dyDescent="0.3">
      <c r="A818" s="34" t="str">
        <f t="shared" si="14"/>
        <v/>
      </c>
      <c r="F818" s="29"/>
      <c r="G818" s="29"/>
      <c r="H818" s="28"/>
      <c r="I818" s="29"/>
    </row>
    <row r="819" spans="1:9" x14ac:dyDescent="0.3">
      <c r="A819" s="34" t="str">
        <f t="shared" si="14"/>
        <v/>
      </c>
      <c r="F819" s="29"/>
      <c r="G819" s="29"/>
      <c r="H819" s="28"/>
      <c r="I819" s="29"/>
    </row>
    <row r="820" spans="1:9" x14ac:dyDescent="0.3">
      <c r="A820" s="34" t="str">
        <f t="shared" si="14"/>
        <v/>
      </c>
      <c r="F820" s="29"/>
      <c r="G820" s="29"/>
      <c r="H820" s="28"/>
      <c r="I820" s="29"/>
    </row>
    <row r="821" spans="1:9" x14ac:dyDescent="0.3">
      <c r="A821" s="34" t="str">
        <f t="shared" si="14"/>
        <v/>
      </c>
      <c r="F821" s="29"/>
      <c r="G821" s="29"/>
      <c r="H821" s="28"/>
      <c r="I821" s="29"/>
    </row>
    <row r="822" spans="1:9" x14ac:dyDescent="0.3">
      <c r="A822" s="34" t="str">
        <f t="shared" si="14"/>
        <v/>
      </c>
      <c r="F822" s="29"/>
      <c r="G822" s="29"/>
      <c r="H822" s="28"/>
      <c r="I822" s="29"/>
    </row>
    <row r="823" spans="1:9" x14ac:dyDescent="0.3">
      <c r="A823" s="34" t="str">
        <f t="shared" si="14"/>
        <v/>
      </c>
      <c r="F823" s="29"/>
      <c r="G823" s="29"/>
      <c r="H823" s="28"/>
      <c r="I823" s="29"/>
    </row>
    <row r="824" spans="1:9" x14ac:dyDescent="0.3">
      <c r="A824" s="34" t="str">
        <f t="shared" si="14"/>
        <v/>
      </c>
      <c r="F824" s="29"/>
      <c r="G824" s="29"/>
      <c r="H824" s="28"/>
      <c r="I824" s="29"/>
    </row>
    <row r="825" spans="1:9" x14ac:dyDescent="0.3">
      <c r="A825" s="34" t="str">
        <f t="shared" si="14"/>
        <v/>
      </c>
      <c r="F825" s="29"/>
      <c r="G825" s="29"/>
      <c r="H825" s="28"/>
      <c r="I825" s="29"/>
    </row>
    <row r="826" spans="1:9" x14ac:dyDescent="0.3">
      <c r="A826" s="34" t="str">
        <f t="shared" si="14"/>
        <v/>
      </c>
      <c r="F826" s="29"/>
      <c r="G826" s="29"/>
      <c r="H826" s="28"/>
      <c r="I826" s="29"/>
    </row>
    <row r="827" spans="1:9" x14ac:dyDescent="0.3">
      <c r="A827" s="34" t="str">
        <f t="shared" si="14"/>
        <v/>
      </c>
      <c r="F827" s="29"/>
      <c r="G827" s="29"/>
      <c r="H827" s="28"/>
      <c r="I827" s="29"/>
    </row>
    <row r="828" spans="1:9" x14ac:dyDescent="0.3">
      <c r="A828" s="34" t="str">
        <f t="shared" si="14"/>
        <v/>
      </c>
      <c r="F828" s="29"/>
      <c r="G828" s="29"/>
      <c r="H828" s="28"/>
      <c r="I828" s="29"/>
    </row>
    <row r="829" spans="1:9" x14ac:dyDescent="0.3">
      <c r="A829" s="34" t="str">
        <f t="shared" si="14"/>
        <v/>
      </c>
      <c r="F829" s="29"/>
      <c r="G829" s="29"/>
      <c r="H829" s="28"/>
      <c r="I829" s="29"/>
    </row>
    <row r="830" spans="1:9" x14ac:dyDescent="0.3">
      <c r="A830" s="34" t="str">
        <f t="shared" si="14"/>
        <v/>
      </c>
      <c r="F830" s="29"/>
      <c r="G830" s="29"/>
      <c r="H830" s="28"/>
      <c r="I830" s="29"/>
    </row>
    <row r="831" spans="1:9" x14ac:dyDescent="0.3">
      <c r="A831" s="34" t="str">
        <f t="shared" si="14"/>
        <v/>
      </c>
      <c r="F831" s="29"/>
      <c r="G831" s="29"/>
      <c r="H831" s="28"/>
      <c r="I831" s="29"/>
    </row>
    <row r="832" spans="1:9" x14ac:dyDescent="0.3">
      <c r="A832" s="34" t="str">
        <f t="shared" si="14"/>
        <v/>
      </c>
      <c r="F832" s="29"/>
      <c r="G832" s="29"/>
      <c r="H832" s="28"/>
      <c r="I832" s="29"/>
    </row>
    <row r="833" spans="1:9" x14ac:dyDescent="0.3">
      <c r="A833" s="34" t="str">
        <f t="shared" si="14"/>
        <v/>
      </c>
      <c r="F833" s="29"/>
      <c r="G833" s="29"/>
      <c r="H833" s="28"/>
      <c r="I833" s="29"/>
    </row>
    <row r="834" spans="1:9" x14ac:dyDescent="0.3">
      <c r="A834" s="34" t="str">
        <f t="shared" si="14"/>
        <v/>
      </c>
      <c r="F834" s="29"/>
      <c r="G834" s="29"/>
      <c r="H834" s="28"/>
      <c r="I834" s="29"/>
    </row>
    <row r="835" spans="1:9" x14ac:dyDescent="0.3">
      <c r="A835" s="34" t="str">
        <f t="shared" si="14"/>
        <v/>
      </c>
      <c r="F835" s="29"/>
      <c r="G835" s="29"/>
      <c r="H835" s="28"/>
      <c r="I835" s="29"/>
    </row>
    <row r="836" spans="1:9" x14ac:dyDescent="0.3">
      <c r="A836" s="34" t="str">
        <f t="shared" si="14"/>
        <v/>
      </c>
      <c r="F836" s="29"/>
      <c r="G836" s="29"/>
      <c r="H836" s="28"/>
      <c r="I836" s="29"/>
    </row>
    <row r="837" spans="1:9" x14ac:dyDescent="0.3">
      <c r="A837" s="34" t="str">
        <f t="shared" si="14"/>
        <v/>
      </c>
      <c r="F837" s="29"/>
      <c r="G837" s="29"/>
      <c r="H837" s="28"/>
      <c r="I837" s="29"/>
    </row>
    <row r="838" spans="1:9" x14ac:dyDescent="0.3">
      <c r="A838" s="34" t="str">
        <f t="shared" si="14"/>
        <v/>
      </c>
      <c r="F838" s="29"/>
      <c r="G838" s="29"/>
      <c r="H838" s="28"/>
      <c r="I838" s="29"/>
    </row>
    <row r="839" spans="1:9" x14ac:dyDescent="0.3">
      <c r="A839" s="34" t="str">
        <f t="shared" si="14"/>
        <v/>
      </c>
      <c r="F839" s="29"/>
      <c r="G839" s="29"/>
      <c r="H839" s="28"/>
      <c r="I839" s="29"/>
    </row>
    <row r="840" spans="1:9" x14ac:dyDescent="0.3">
      <c r="A840" s="34" t="str">
        <f t="shared" si="14"/>
        <v/>
      </c>
      <c r="F840" s="29"/>
      <c r="G840" s="29"/>
      <c r="H840" s="28"/>
      <c r="I840" s="29"/>
    </row>
    <row r="841" spans="1:9" x14ac:dyDescent="0.3">
      <c r="A841" s="34" t="str">
        <f t="shared" si="14"/>
        <v/>
      </c>
      <c r="F841" s="29"/>
      <c r="G841" s="29"/>
      <c r="H841" s="28"/>
      <c r="I841" s="29"/>
    </row>
    <row r="842" spans="1:9" x14ac:dyDescent="0.3">
      <c r="A842" s="34" t="str">
        <f t="shared" si="14"/>
        <v/>
      </c>
      <c r="F842" s="29"/>
      <c r="G842" s="29"/>
      <c r="H842" s="28"/>
      <c r="I842" s="29"/>
    </row>
    <row r="843" spans="1:9" x14ac:dyDescent="0.3">
      <c r="A843" s="34" t="str">
        <f t="shared" si="14"/>
        <v/>
      </c>
      <c r="F843" s="29"/>
      <c r="G843" s="29"/>
      <c r="H843" s="28"/>
      <c r="I843" s="29"/>
    </row>
    <row r="844" spans="1:9" x14ac:dyDescent="0.3">
      <c r="A844" s="34" t="str">
        <f t="shared" si="14"/>
        <v/>
      </c>
      <c r="F844" s="29"/>
      <c r="G844" s="29"/>
      <c r="H844" s="28"/>
      <c r="I844" s="29"/>
    </row>
    <row r="845" spans="1:9" x14ac:dyDescent="0.3">
      <c r="A845" s="34" t="str">
        <f t="shared" si="14"/>
        <v/>
      </c>
      <c r="F845" s="29"/>
      <c r="G845" s="29"/>
      <c r="H845" s="28"/>
      <c r="I845" s="29"/>
    </row>
    <row r="846" spans="1:9" x14ac:dyDescent="0.3">
      <c r="A846" s="34" t="str">
        <f t="shared" si="14"/>
        <v/>
      </c>
      <c r="F846" s="29"/>
      <c r="G846" s="29"/>
      <c r="H846" s="28"/>
      <c r="I846" s="29"/>
    </row>
    <row r="847" spans="1:9" x14ac:dyDescent="0.3">
      <c r="A847" s="34" t="str">
        <f t="shared" ref="A847:A910" si="15">C847&amp;E847</f>
        <v/>
      </c>
      <c r="F847" s="29"/>
      <c r="G847" s="29"/>
      <c r="H847" s="28"/>
      <c r="I847" s="29"/>
    </row>
    <row r="848" spans="1:9" x14ac:dyDescent="0.3">
      <c r="A848" s="34" t="str">
        <f t="shared" si="15"/>
        <v/>
      </c>
      <c r="F848" s="29"/>
      <c r="G848" s="29"/>
      <c r="H848" s="28"/>
      <c r="I848" s="29"/>
    </row>
    <row r="849" spans="1:9" x14ac:dyDescent="0.3">
      <c r="A849" s="34" t="str">
        <f t="shared" si="15"/>
        <v/>
      </c>
      <c r="F849" s="29"/>
      <c r="G849" s="29"/>
      <c r="H849" s="28"/>
      <c r="I849" s="29"/>
    </row>
    <row r="850" spans="1:9" x14ac:dyDescent="0.3">
      <c r="A850" s="34" t="str">
        <f t="shared" si="15"/>
        <v/>
      </c>
      <c r="F850" s="29"/>
      <c r="G850" s="29"/>
      <c r="H850" s="28"/>
      <c r="I850" s="29"/>
    </row>
    <row r="851" spans="1:9" x14ac:dyDescent="0.3">
      <c r="A851" s="34" t="str">
        <f t="shared" si="15"/>
        <v/>
      </c>
      <c r="F851" s="29"/>
      <c r="G851" s="29"/>
      <c r="H851" s="28"/>
      <c r="I851" s="29"/>
    </row>
    <row r="852" spans="1:9" x14ac:dyDescent="0.3">
      <c r="A852" s="34" t="str">
        <f t="shared" si="15"/>
        <v/>
      </c>
      <c r="F852" s="29"/>
      <c r="G852" s="29"/>
      <c r="H852" s="28"/>
      <c r="I852" s="29"/>
    </row>
    <row r="853" spans="1:9" x14ac:dyDescent="0.3">
      <c r="A853" s="34" t="str">
        <f t="shared" si="15"/>
        <v/>
      </c>
      <c r="F853" s="29"/>
      <c r="G853" s="29"/>
      <c r="H853" s="28"/>
      <c r="I853" s="29"/>
    </row>
    <row r="854" spans="1:9" x14ac:dyDescent="0.3">
      <c r="A854" s="34" t="str">
        <f t="shared" si="15"/>
        <v/>
      </c>
      <c r="F854" s="29"/>
      <c r="G854" s="29"/>
      <c r="H854" s="28"/>
      <c r="I854" s="29"/>
    </row>
    <row r="855" spans="1:9" x14ac:dyDescent="0.3">
      <c r="A855" s="34" t="str">
        <f t="shared" si="15"/>
        <v/>
      </c>
      <c r="F855" s="29"/>
      <c r="G855" s="29"/>
      <c r="H855" s="28"/>
      <c r="I855" s="29"/>
    </row>
    <row r="856" spans="1:9" x14ac:dyDescent="0.3">
      <c r="A856" s="34" t="str">
        <f t="shared" si="15"/>
        <v/>
      </c>
      <c r="F856" s="29"/>
      <c r="G856" s="29"/>
      <c r="H856" s="28"/>
      <c r="I856" s="29"/>
    </row>
    <row r="857" spans="1:9" x14ac:dyDescent="0.3">
      <c r="A857" s="34" t="str">
        <f t="shared" si="15"/>
        <v/>
      </c>
      <c r="F857" s="29"/>
      <c r="G857" s="29"/>
      <c r="H857" s="28"/>
      <c r="I857" s="29"/>
    </row>
    <row r="858" spans="1:9" x14ac:dyDescent="0.3">
      <c r="A858" s="34" t="str">
        <f t="shared" si="15"/>
        <v/>
      </c>
      <c r="F858" s="29"/>
      <c r="G858" s="29"/>
      <c r="H858" s="28"/>
      <c r="I858" s="29"/>
    </row>
    <row r="859" spans="1:9" x14ac:dyDescent="0.3">
      <c r="A859" s="34" t="str">
        <f t="shared" si="15"/>
        <v/>
      </c>
      <c r="F859" s="29"/>
      <c r="G859" s="29"/>
      <c r="H859" s="28"/>
      <c r="I859" s="29"/>
    </row>
    <row r="860" spans="1:9" x14ac:dyDescent="0.3">
      <c r="A860" s="34" t="str">
        <f t="shared" si="15"/>
        <v/>
      </c>
      <c r="F860" s="29"/>
      <c r="G860" s="29"/>
      <c r="H860" s="28"/>
      <c r="I860" s="29"/>
    </row>
    <row r="861" spans="1:9" x14ac:dyDescent="0.3">
      <c r="A861" s="34" t="str">
        <f t="shared" si="15"/>
        <v/>
      </c>
      <c r="F861" s="29"/>
      <c r="G861" s="29"/>
      <c r="H861" s="28"/>
      <c r="I861" s="29"/>
    </row>
    <row r="862" spans="1:9" x14ac:dyDescent="0.3">
      <c r="A862" s="34" t="str">
        <f t="shared" si="15"/>
        <v/>
      </c>
      <c r="F862" s="29"/>
      <c r="G862" s="29"/>
      <c r="H862" s="28"/>
      <c r="I862" s="29"/>
    </row>
    <row r="863" spans="1:9" x14ac:dyDescent="0.3">
      <c r="A863" s="34" t="str">
        <f t="shared" si="15"/>
        <v/>
      </c>
      <c r="F863" s="29"/>
      <c r="G863" s="29"/>
      <c r="H863" s="28"/>
      <c r="I863" s="29"/>
    </row>
    <row r="864" spans="1:9" x14ac:dyDescent="0.3">
      <c r="A864" s="34" t="str">
        <f t="shared" si="15"/>
        <v/>
      </c>
      <c r="F864" s="29"/>
      <c r="G864" s="29"/>
      <c r="H864" s="28"/>
      <c r="I864" s="29"/>
    </row>
    <row r="865" spans="1:9" x14ac:dyDescent="0.3">
      <c r="A865" s="34" t="str">
        <f t="shared" si="15"/>
        <v/>
      </c>
      <c r="F865" s="29"/>
      <c r="G865" s="29"/>
      <c r="H865" s="28"/>
      <c r="I865" s="29"/>
    </row>
    <row r="866" spans="1:9" x14ac:dyDescent="0.3">
      <c r="A866" s="34" t="str">
        <f t="shared" si="15"/>
        <v/>
      </c>
      <c r="F866" s="29"/>
      <c r="G866" s="29"/>
      <c r="H866" s="28"/>
      <c r="I866" s="29"/>
    </row>
    <row r="867" spans="1:9" x14ac:dyDescent="0.3">
      <c r="A867" s="34" t="str">
        <f t="shared" si="15"/>
        <v/>
      </c>
      <c r="F867" s="29"/>
      <c r="G867" s="29"/>
      <c r="H867" s="28"/>
      <c r="I867" s="29"/>
    </row>
    <row r="868" spans="1:9" x14ac:dyDescent="0.3">
      <c r="A868" s="34" t="str">
        <f t="shared" si="15"/>
        <v/>
      </c>
      <c r="F868" s="29"/>
      <c r="G868" s="29"/>
      <c r="H868" s="28"/>
      <c r="I868" s="29"/>
    </row>
    <row r="869" spans="1:9" x14ac:dyDescent="0.3">
      <c r="A869" s="34" t="str">
        <f t="shared" si="15"/>
        <v/>
      </c>
      <c r="F869" s="29"/>
      <c r="G869" s="29"/>
      <c r="H869" s="28"/>
      <c r="I869" s="29"/>
    </row>
    <row r="870" spans="1:9" x14ac:dyDescent="0.3">
      <c r="A870" s="34" t="str">
        <f t="shared" si="15"/>
        <v/>
      </c>
      <c r="F870" s="29"/>
      <c r="G870" s="29"/>
      <c r="H870" s="28"/>
      <c r="I870" s="29"/>
    </row>
    <row r="871" spans="1:9" x14ac:dyDescent="0.3">
      <c r="A871" s="34" t="str">
        <f t="shared" si="15"/>
        <v/>
      </c>
      <c r="F871" s="29"/>
      <c r="G871" s="29"/>
      <c r="H871" s="28"/>
      <c r="I871" s="29"/>
    </row>
    <row r="872" spans="1:9" x14ac:dyDescent="0.3">
      <c r="A872" s="34" t="str">
        <f t="shared" si="15"/>
        <v/>
      </c>
      <c r="F872" s="29"/>
      <c r="G872" s="29"/>
      <c r="H872" s="28"/>
      <c r="I872" s="29"/>
    </row>
    <row r="873" spans="1:9" x14ac:dyDescent="0.3">
      <c r="A873" s="34" t="str">
        <f t="shared" si="15"/>
        <v/>
      </c>
      <c r="F873" s="29"/>
      <c r="G873" s="29"/>
      <c r="H873" s="28"/>
      <c r="I873" s="29"/>
    </row>
    <row r="874" spans="1:9" x14ac:dyDescent="0.3">
      <c r="A874" s="34" t="str">
        <f t="shared" si="15"/>
        <v/>
      </c>
      <c r="F874" s="29"/>
      <c r="G874" s="29"/>
      <c r="H874" s="28"/>
      <c r="I874" s="29"/>
    </row>
    <row r="875" spans="1:9" x14ac:dyDescent="0.3">
      <c r="A875" s="34" t="str">
        <f t="shared" si="15"/>
        <v/>
      </c>
      <c r="F875" s="29"/>
      <c r="G875" s="29"/>
      <c r="H875" s="28"/>
      <c r="I875" s="29"/>
    </row>
    <row r="876" spans="1:9" x14ac:dyDescent="0.3">
      <c r="A876" s="34" t="str">
        <f t="shared" si="15"/>
        <v/>
      </c>
      <c r="F876" s="29"/>
      <c r="G876" s="29"/>
      <c r="H876" s="28"/>
      <c r="I876" s="29"/>
    </row>
    <row r="877" spans="1:9" x14ac:dyDescent="0.3">
      <c r="A877" s="34" t="str">
        <f t="shared" si="15"/>
        <v/>
      </c>
      <c r="F877" s="29"/>
      <c r="G877" s="29"/>
      <c r="H877" s="28"/>
      <c r="I877" s="29"/>
    </row>
    <row r="878" spans="1:9" x14ac:dyDescent="0.3">
      <c r="A878" s="34" t="str">
        <f t="shared" si="15"/>
        <v/>
      </c>
      <c r="F878" s="29"/>
      <c r="G878" s="29"/>
      <c r="H878" s="28"/>
      <c r="I878" s="29"/>
    </row>
    <row r="879" spans="1:9" x14ac:dyDescent="0.3">
      <c r="A879" s="34" t="str">
        <f t="shared" si="15"/>
        <v/>
      </c>
      <c r="F879" s="29"/>
      <c r="G879" s="29"/>
      <c r="H879" s="28"/>
      <c r="I879" s="29"/>
    </row>
    <row r="880" spans="1:9" x14ac:dyDescent="0.3">
      <c r="A880" s="34" t="str">
        <f t="shared" si="15"/>
        <v/>
      </c>
      <c r="F880" s="29"/>
      <c r="G880" s="29"/>
      <c r="H880" s="28"/>
      <c r="I880" s="29"/>
    </row>
    <row r="881" spans="1:9" x14ac:dyDescent="0.3">
      <c r="A881" s="34" t="str">
        <f t="shared" si="15"/>
        <v/>
      </c>
      <c r="F881" s="29"/>
      <c r="G881" s="29"/>
      <c r="H881" s="28"/>
      <c r="I881" s="29"/>
    </row>
    <row r="882" spans="1:9" x14ac:dyDescent="0.3">
      <c r="A882" s="34" t="str">
        <f t="shared" si="15"/>
        <v/>
      </c>
      <c r="F882" s="29"/>
      <c r="G882" s="29"/>
      <c r="H882" s="28"/>
      <c r="I882" s="29"/>
    </row>
    <row r="883" spans="1:9" x14ac:dyDescent="0.3">
      <c r="A883" s="34" t="str">
        <f t="shared" si="15"/>
        <v/>
      </c>
      <c r="F883" s="29"/>
      <c r="G883" s="29"/>
      <c r="H883" s="28"/>
      <c r="I883" s="29"/>
    </row>
    <row r="884" spans="1:9" x14ac:dyDescent="0.3">
      <c r="A884" s="34" t="str">
        <f t="shared" si="15"/>
        <v/>
      </c>
      <c r="F884" s="29"/>
      <c r="G884" s="29"/>
      <c r="H884" s="28"/>
      <c r="I884" s="29"/>
    </row>
    <row r="885" spans="1:9" x14ac:dyDescent="0.3">
      <c r="A885" s="34" t="str">
        <f t="shared" si="15"/>
        <v/>
      </c>
      <c r="F885" s="29"/>
      <c r="G885" s="29"/>
      <c r="H885" s="28"/>
      <c r="I885" s="29"/>
    </row>
    <row r="886" spans="1:9" x14ac:dyDescent="0.3">
      <c r="A886" s="34" t="str">
        <f t="shared" si="15"/>
        <v/>
      </c>
      <c r="F886" s="29"/>
      <c r="G886" s="29"/>
      <c r="H886" s="28"/>
      <c r="I886" s="29"/>
    </row>
    <row r="887" spans="1:9" x14ac:dyDescent="0.3">
      <c r="A887" s="34" t="str">
        <f t="shared" si="15"/>
        <v/>
      </c>
      <c r="F887" s="29"/>
      <c r="G887" s="29"/>
      <c r="H887" s="28"/>
      <c r="I887" s="29"/>
    </row>
    <row r="888" spans="1:9" x14ac:dyDescent="0.3">
      <c r="A888" s="34" t="str">
        <f t="shared" si="15"/>
        <v/>
      </c>
      <c r="F888" s="29"/>
      <c r="G888" s="29"/>
      <c r="H888" s="28"/>
      <c r="I888" s="29"/>
    </row>
    <row r="889" spans="1:9" x14ac:dyDescent="0.3">
      <c r="A889" s="34" t="str">
        <f t="shared" si="15"/>
        <v/>
      </c>
      <c r="F889" s="29"/>
      <c r="G889" s="29"/>
      <c r="H889" s="28"/>
      <c r="I889" s="29"/>
    </row>
    <row r="890" spans="1:9" x14ac:dyDescent="0.3">
      <c r="A890" s="34" t="str">
        <f t="shared" si="15"/>
        <v/>
      </c>
      <c r="F890" s="29"/>
      <c r="G890" s="29"/>
      <c r="H890" s="28"/>
      <c r="I890" s="29"/>
    </row>
    <row r="891" spans="1:9" x14ac:dyDescent="0.3">
      <c r="A891" s="34" t="str">
        <f t="shared" si="15"/>
        <v/>
      </c>
      <c r="F891" s="29"/>
      <c r="G891" s="29"/>
      <c r="H891" s="28"/>
      <c r="I891" s="29"/>
    </row>
    <row r="892" spans="1:9" x14ac:dyDescent="0.3">
      <c r="A892" s="34" t="str">
        <f t="shared" si="15"/>
        <v/>
      </c>
      <c r="F892" s="29"/>
      <c r="G892" s="29"/>
      <c r="H892" s="28"/>
      <c r="I892" s="29"/>
    </row>
    <row r="893" spans="1:9" x14ac:dyDescent="0.3">
      <c r="A893" s="34" t="str">
        <f t="shared" si="15"/>
        <v/>
      </c>
      <c r="F893" s="29"/>
      <c r="G893" s="29"/>
      <c r="H893" s="28"/>
      <c r="I893" s="29"/>
    </row>
    <row r="894" spans="1:9" x14ac:dyDescent="0.3">
      <c r="A894" s="34" t="str">
        <f t="shared" si="15"/>
        <v/>
      </c>
      <c r="F894" s="29"/>
      <c r="G894" s="29"/>
      <c r="H894" s="28"/>
      <c r="I894" s="29"/>
    </row>
    <row r="895" spans="1:9" x14ac:dyDescent="0.3">
      <c r="A895" s="34" t="str">
        <f t="shared" si="15"/>
        <v/>
      </c>
      <c r="F895" s="29"/>
      <c r="G895" s="29"/>
      <c r="H895" s="28"/>
      <c r="I895" s="29"/>
    </row>
    <row r="896" spans="1:9" x14ac:dyDescent="0.3">
      <c r="A896" s="34" t="str">
        <f t="shared" si="15"/>
        <v/>
      </c>
      <c r="F896" s="29"/>
      <c r="G896" s="29"/>
      <c r="H896" s="28"/>
      <c r="I896" s="29"/>
    </row>
    <row r="897" spans="1:9" x14ac:dyDescent="0.3">
      <c r="A897" s="34" t="str">
        <f t="shared" si="15"/>
        <v/>
      </c>
      <c r="F897" s="29"/>
      <c r="G897" s="29"/>
      <c r="H897" s="28"/>
      <c r="I897" s="29"/>
    </row>
    <row r="898" spans="1:9" x14ac:dyDescent="0.3">
      <c r="A898" s="34" t="str">
        <f t="shared" si="15"/>
        <v/>
      </c>
      <c r="F898" s="29"/>
      <c r="G898" s="29"/>
      <c r="H898" s="28"/>
      <c r="I898" s="29"/>
    </row>
    <row r="899" spans="1:9" x14ac:dyDescent="0.3">
      <c r="A899" s="34" t="str">
        <f t="shared" si="15"/>
        <v/>
      </c>
      <c r="F899" s="29"/>
      <c r="G899" s="29"/>
      <c r="H899" s="28"/>
      <c r="I899" s="29"/>
    </row>
    <row r="900" spans="1:9" x14ac:dyDescent="0.3">
      <c r="A900" s="34" t="str">
        <f t="shared" si="15"/>
        <v/>
      </c>
      <c r="F900" s="29"/>
      <c r="G900" s="29"/>
      <c r="H900" s="28"/>
      <c r="I900" s="29"/>
    </row>
    <row r="901" spans="1:9" x14ac:dyDescent="0.3">
      <c r="A901" s="34" t="str">
        <f t="shared" si="15"/>
        <v/>
      </c>
      <c r="F901" s="29"/>
      <c r="G901" s="29"/>
      <c r="H901" s="28"/>
      <c r="I901" s="29"/>
    </row>
    <row r="902" spans="1:9" x14ac:dyDescent="0.3">
      <c r="A902" s="34" t="str">
        <f t="shared" si="15"/>
        <v/>
      </c>
      <c r="F902" s="29"/>
      <c r="G902" s="29"/>
      <c r="H902" s="28"/>
      <c r="I902" s="29"/>
    </row>
    <row r="903" spans="1:9" x14ac:dyDescent="0.3">
      <c r="A903" s="34" t="str">
        <f t="shared" si="15"/>
        <v/>
      </c>
      <c r="F903" s="29"/>
      <c r="G903" s="29"/>
      <c r="H903" s="28"/>
      <c r="I903" s="29"/>
    </row>
    <row r="904" spans="1:9" x14ac:dyDescent="0.3">
      <c r="A904" s="34" t="str">
        <f t="shared" si="15"/>
        <v/>
      </c>
      <c r="F904" s="29"/>
      <c r="G904" s="29"/>
      <c r="H904" s="28"/>
      <c r="I904" s="29"/>
    </row>
    <row r="905" spans="1:9" x14ac:dyDescent="0.3">
      <c r="A905" s="34" t="str">
        <f t="shared" si="15"/>
        <v/>
      </c>
      <c r="F905" s="29"/>
      <c r="G905" s="29"/>
      <c r="H905" s="28"/>
      <c r="I905" s="29"/>
    </row>
    <row r="906" spans="1:9" x14ac:dyDescent="0.3">
      <c r="A906" s="34" t="str">
        <f t="shared" si="15"/>
        <v/>
      </c>
      <c r="F906" s="29"/>
      <c r="G906" s="29"/>
      <c r="H906" s="28"/>
      <c r="I906" s="29"/>
    </row>
    <row r="907" spans="1:9" x14ac:dyDescent="0.3">
      <c r="A907" s="34" t="str">
        <f t="shared" si="15"/>
        <v/>
      </c>
      <c r="F907" s="29"/>
      <c r="G907" s="29"/>
      <c r="H907" s="28"/>
      <c r="I907" s="29"/>
    </row>
    <row r="908" spans="1:9" x14ac:dyDescent="0.3">
      <c r="A908" s="34" t="str">
        <f t="shared" si="15"/>
        <v/>
      </c>
      <c r="F908" s="29"/>
      <c r="G908" s="29"/>
      <c r="H908" s="28"/>
      <c r="I908" s="29"/>
    </row>
    <row r="909" spans="1:9" x14ac:dyDescent="0.3">
      <c r="A909" s="34" t="str">
        <f t="shared" si="15"/>
        <v/>
      </c>
      <c r="F909" s="29"/>
      <c r="G909" s="29"/>
      <c r="H909" s="28"/>
      <c r="I909" s="29"/>
    </row>
    <row r="910" spans="1:9" x14ac:dyDescent="0.3">
      <c r="A910" s="34" t="str">
        <f t="shared" si="15"/>
        <v/>
      </c>
      <c r="F910" s="29"/>
      <c r="G910" s="29"/>
      <c r="H910" s="28"/>
      <c r="I910" s="29"/>
    </row>
    <row r="911" spans="1:9" x14ac:dyDescent="0.3">
      <c r="A911" s="34" t="str">
        <f t="shared" ref="A911:A974" si="16">C911&amp;E911</f>
        <v/>
      </c>
      <c r="F911" s="29"/>
      <c r="G911" s="29"/>
      <c r="H911" s="28"/>
      <c r="I911" s="29"/>
    </row>
    <row r="912" spans="1:9" x14ac:dyDescent="0.3">
      <c r="A912" s="34" t="str">
        <f t="shared" si="16"/>
        <v/>
      </c>
      <c r="F912" s="29"/>
      <c r="G912" s="29"/>
      <c r="H912" s="28"/>
      <c r="I912" s="29"/>
    </row>
    <row r="913" spans="1:9" x14ac:dyDescent="0.3">
      <c r="A913" s="34" t="str">
        <f t="shared" si="16"/>
        <v/>
      </c>
      <c r="F913" s="29"/>
      <c r="G913" s="29"/>
      <c r="H913" s="28"/>
      <c r="I913" s="29"/>
    </row>
    <row r="914" spans="1:9" x14ac:dyDescent="0.3">
      <c r="A914" s="34" t="str">
        <f t="shared" si="16"/>
        <v/>
      </c>
      <c r="F914" s="29"/>
      <c r="G914" s="29"/>
      <c r="H914" s="28"/>
      <c r="I914" s="29"/>
    </row>
    <row r="915" spans="1:9" x14ac:dyDescent="0.3">
      <c r="A915" s="34" t="str">
        <f t="shared" si="16"/>
        <v/>
      </c>
      <c r="F915" s="29"/>
      <c r="G915" s="29"/>
      <c r="H915" s="28"/>
      <c r="I915" s="29"/>
    </row>
    <row r="916" spans="1:9" x14ac:dyDescent="0.3">
      <c r="A916" s="34" t="str">
        <f t="shared" si="16"/>
        <v/>
      </c>
      <c r="F916" s="29"/>
      <c r="G916" s="29"/>
      <c r="H916" s="28"/>
      <c r="I916" s="29"/>
    </row>
    <row r="917" spans="1:9" x14ac:dyDescent="0.3">
      <c r="A917" s="34" t="str">
        <f t="shared" si="16"/>
        <v/>
      </c>
      <c r="F917" s="29"/>
      <c r="G917" s="29"/>
      <c r="H917" s="28"/>
      <c r="I917" s="29"/>
    </row>
    <row r="918" spans="1:9" x14ac:dyDescent="0.3">
      <c r="A918" s="34" t="str">
        <f t="shared" si="16"/>
        <v/>
      </c>
      <c r="F918" s="29"/>
      <c r="G918" s="29"/>
      <c r="H918" s="28"/>
      <c r="I918" s="29"/>
    </row>
    <row r="919" spans="1:9" x14ac:dyDescent="0.3">
      <c r="A919" s="34" t="str">
        <f t="shared" si="16"/>
        <v/>
      </c>
      <c r="F919" s="29"/>
      <c r="G919" s="29"/>
      <c r="H919" s="28"/>
      <c r="I919" s="29"/>
    </row>
    <row r="920" spans="1:9" x14ac:dyDescent="0.3">
      <c r="A920" s="34" t="str">
        <f t="shared" si="16"/>
        <v/>
      </c>
      <c r="F920" s="29"/>
      <c r="G920" s="29"/>
      <c r="H920" s="28"/>
      <c r="I920" s="29"/>
    </row>
    <row r="921" spans="1:9" x14ac:dyDescent="0.3">
      <c r="A921" s="34" t="str">
        <f t="shared" si="16"/>
        <v/>
      </c>
      <c r="F921" s="29"/>
      <c r="G921" s="29"/>
      <c r="H921" s="28"/>
      <c r="I921" s="29"/>
    </row>
    <row r="922" spans="1:9" x14ac:dyDescent="0.3">
      <c r="A922" s="34" t="str">
        <f t="shared" si="16"/>
        <v/>
      </c>
      <c r="F922" s="29"/>
      <c r="G922" s="29"/>
      <c r="H922" s="28"/>
      <c r="I922" s="29"/>
    </row>
    <row r="923" spans="1:9" x14ac:dyDescent="0.3">
      <c r="A923" s="34" t="str">
        <f t="shared" si="16"/>
        <v/>
      </c>
      <c r="F923" s="29"/>
      <c r="G923" s="29"/>
      <c r="H923" s="28"/>
      <c r="I923" s="29"/>
    </row>
    <row r="924" spans="1:9" x14ac:dyDescent="0.3">
      <c r="A924" s="34" t="str">
        <f t="shared" si="16"/>
        <v/>
      </c>
      <c r="F924" s="29"/>
      <c r="G924" s="29"/>
      <c r="H924" s="28"/>
      <c r="I924" s="29"/>
    </row>
    <row r="925" spans="1:9" x14ac:dyDescent="0.3">
      <c r="A925" s="34" t="str">
        <f t="shared" si="16"/>
        <v/>
      </c>
      <c r="F925" s="29"/>
      <c r="G925" s="29"/>
      <c r="H925" s="28"/>
      <c r="I925" s="29"/>
    </row>
    <row r="926" spans="1:9" x14ac:dyDescent="0.3">
      <c r="A926" s="34" t="str">
        <f t="shared" si="16"/>
        <v/>
      </c>
      <c r="F926" s="29"/>
      <c r="G926" s="29"/>
      <c r="H926" s="28"/>
      <c r="I926" s="29"/>
    </row>
    <row r="927" spans="1:9" x14ac:dyDescent="0.3">
      <c r="A927" s="34" t="str">
        <f t="shared" si="16"/>
        <v/>
      </c>
      <c r="F927" s="29"/>
      <c r="G927" s="29"/>
      <c r="H927" s="28"/>
      <c r="I927" s="29"/>
    </row>
    <row r="928" spans="1:9" x14ac:dyDescent="0.3">
      <c r="A928" s="34" t="str">
        <f t="shared" si="16"/>
        <v/>
      </c>
      <c r="F928" s="29"/>
      <c r="G928" s="29"/>
      <c r="H928" s="28"/>
      <c r="I928" s="29"/>
    </row>
    <row r="929" spans="1:9" x14ac:dyDescent="0.3">
      <c r="A929" s="34" t="str">
        <f t="shared" si="16"/>
        <v/>
      </c>
      <c r="F929" s="29"/>
      <c r="G929" s="29"/>
      <c r="H929" s="28"/>
      <c r="I929" s="29"/>
    </row>
    <row r="930" spans="1:9" x14ac:dyDescent="0.3">
      <c r="A930" s="34" t="str">
        <f t="shared" si="16"/>
        <v/>
      </c>
      <c r="F930" s="29"/>
      <c r="G930" s="29"/>
      <c r="H930" s="28"/>
      <c r="I930" s="29"/>
    </row>
    <row r="931" spans="1:9" x14ac:dyDescent="0.3">
      <c r="A931" s="34" t="str">
        <f t="shared" si="16"/>
        <v/>
      </c>
      <c r="F931" s="29"/>
      <c r="G931" s="29"/>
      <c r="H931" s="28"/>
      <c r="I931" s="29"/>
    </row>
    <row r="932" spans="1:9" x14ac:dyDescent="0.3">
      <c r="A932" s="34" t="str">
        <f t="shared" si="16"/>
        <v/>
      </c>
      <c r="F932" s="29"/>
      <c r="G932" s="29"/>
      <c r="H932" s="28"/>
      <c r="I932" s="29"/>
    </row>
    <row r="933" spans="1:9" x14ac:dyDescent="0.3">
      <c r="A933" s="34" t="str">
        <f t="shared" si="16"/>
        <v/>
      </c>
      <c r="F933" s="29"/>
      <c r="G933" s="29"/>
      <c r="H933" s="28"/>
      <c r="I933" s="29"/>
    </row>
    <row r="934" spans="1:9" x14ac:dyDescent="0.3">
      <c r="A934" s="34" t="str">
        <f t="shared" si="16"/>
        <v/>
      </c>
      <c r="F934" s="29"/>
      <c r="G934" s="29"/>
      <c r="H934" s="28"/>
      <c r="I934" s="29"/>
    </row>
    <row r="935" spans="1:9" x14ac:dyDescent="0.3">
      <c r="A935" s="34" t="str">
        <f t="shared" si="16"/>
        <v/>
      </c>
      <c r="F935" s="29"/>
      <c r="G935" s="29"/>
      <c r="H935" s="28"/>
      <c r="I935" s="29"/>
    </row>
    <row r="936" spans="1:9" x14ac:dyDescent="0.3">
      <c r="A936" s="34" t="str">
        <f t="shared" si="16"/>
        <v/>
      </c>
      <c r="F936" s="29"/>
      <c r="G936" s="29"/>
      <c r="H936" s="28"/>
      <c r="I936" s="29"/>
    </row>
    <row r="937" spans="1:9" x14ac:dyDescent="0.3">
      <c r="A937" s="34" t="str">
        <f t="shared" si="16"/>
        <v/>
      </c>
      <c r="F937" s="29"/>
      <c r="G937" s="29"/>
      <c r="H937" s="28"/>
      <c r="I937" s="29"/>
    </row>
    <row r="938" spans="1:9" x14ac:dyDescent="0.3">
      <c r="A938" s="34" t="str">
        <f t="shared" si="16"/>
        <v/>
      </c>
      <c r="F938" s="29"/>
      <c r="G938" s="29"/>
      <c r="H938" s="28"/>
      <c r="I938" s="29"/>
    </row>
    <row r="939" spans="1:9" x14ac:dyDescent="0.3">
      <c r="A939" s="34" t="str">
        <f t="shared" si="16"/>
        <v/>
      </c>
      <c r="F939" s="29"/>
      <c r="G939" s="29"/>
      <c r="H939" s="28"/>
      <c r="I939" s="29"/>
    </row>
    <row r="940" spans="1:9" x14ac:dyDescent="0.3">
      <c r="A940" s="34" t="str">
        <f t="shared" si="16"/>
        <v/>
      </c>
      <c r="F940" s="29"/>
      <c r="G940" s="29"/>
      <c r="H940" s="28"/>
      <c r="I940" s="29"/>
    </row>
    <row r="941" spans="1:9" x14ac:dyDescent="0.3">
      <c r="A941" s="34" t="str">
        <f t="shared" si="16"/>
        <v/>
      </c>
      <c r="F941" s="29"/>
      <c r="G941" s="29"/>
      <c r="H941" s="28"/>
      <c r="I941" s="29"/>
    </row>
    <row r="942" spans="1:9" x14ac:dyDescent="0.3">
      <c r="A942" s="34" t="str">
        <f t="shared" si="16"/>
        <v/>
      </c>
      <c r="F942" s="29"/>
      <c r="G942" s="29"/>
      <c r="H942" s="28"/>
      <c r="I942" s="29"/>
    </row>
    <row r="943" spans="1:9" x14ac:dyDescent="0.3">
      <c r="A943" s="34" t="str">
        <f t="shared" si="16"/>
        <v/>
      </c>
      <c r="F943" s="29"/>
      <c r="G943" s="29"/>
      <c r="H943" s="28"/>
      <c r="I943" s="29"/>
    </row>
    <row r="944" spans="1:9" x14ac:dyDescent="0.3">
      <c r="A944" s="34" t="str">
        <f t="shared" si="16"/>
        <v/>
      </c>
      <c r="F944" s="29"/>
      <c r="G944" s="29"/>
      <c r="H944" s="28"/>
      <c r="I944" s="29"/>
    </row>
    <row r="945" spans="1:9" x14ac:dyDescent="0.3">
      <c r="A945" s="34" t="str">
        <f t="shared" si="16"/>
        <v/>
      </c>
      <c r="F945" s="29"/>
      <c r="G945" s="29"/>
      <c r="H945" s="28"/>
      <c r="I945" s="29"/>
    </row>
    <row r="946" spans="1:9" x14ac:dyDescent="0.3">
      <c r="A946" s="34" t="str">
        <f t="shared" si="16"/>
        <v/>
      </c>
      <c r="F946" s="29"/>
      <c r="G946" s="29"/>
      <c r="H946" s="28"/>
      <c r="I946" s="29"/>
    </row>
    <row r="947" spans="1:9" x14ac:dyDescent="0.3">
      <c r="A947" s="34" t="str">
        <f t="shared" si="16"/>
        <v/>
      </c>
      <c r="F947" s="29"/>
      <c r="G947" s="29"/>
      <c r="H947" s="28"/>
      <c r="I947" s="29"/>
    </row>
    <row r="948" spans="1:9" x14ac:dyDescent="0.3">
      <c r="A948" s="34" t="str">
        <f t="shared" si="16"/>
        <v/>
      </c>
      <c r="F948" s="29"/>
      <c r="G948" s="29"/>
      <c r="H948" s="28"/>
      <c r="I948" s="29"/>
    </row>
    <row r="949" spans="1:9" x14ac:dyDescent="0.3">
      <c r="A949" s="34" t="str">
        <f t="shared" si="16"/>
        <v/>
      </c>
      <c r="F949" s="29"/>
      <c r="G949" s="29"/>
      <c r="H949" s="28"/>
      <c r="I949" s="29"/>
    </row>
    <row r="950" spans="1:9" x14ac:dyDescent="0.3">
      <c r="A950" s="34" t="str">
        <f t="shared" si="16"/>
        <v/>
      </c>
      <c r="F950" s="29"/>
      <c r="G950" s="29"/>
      <c r="H950" s="28"/>
      <c r="I950" s="29"/>
    </row>
    <row r="951" spans="1:9" x14ac:dyDescent="0.3">
      <c r="A951" s="34" t="str">
        <f t="shared" si="16"/>
        <v/>
      </c>
      <c r="F951" s="29"/>
      <c r="G951" s="29"/>
      <c r="H951" s="28"/>
      <c r="I951" s="29"/>
    </row>
    <row r="952" spans="1:9" x14ac:dyDescent="0.3">
      <c r="A952" s="34" t="str">
        <f t="shared" si="16"/>
        <v/>
      </c>
      <c r="F952" s="29"/>
      <c r="G952" s="29"/>
      <c r="H952" s="28"/>
      <c r="I952" s="29"/>
    </row>
    <row r="953" spans="1:9" x14ac:dyDescent="0.3">
      <c r="A953" s="34" t="str">
        <f t="shared" si="16"/>
        <v/>
      </c>
      <c r="F953" s="29"/>
      <c r="G953" s="29"/>
      <c r="H953" s="28"/>
      <c r="I953" s="29"/>
    </row>
    <row r="954" spans="1:9" x14ac:dyDescent="0.3">
      <c r="A954" s="34" t="str">
        <f t="shared" si="16"/>
        <v/>
      </c>
      <c r="F954" s="29"/>
      <c r="G954" s="29"/>
      <c r="H954" s="28"/>
      <c r="I954" s="29"/>
    </row>
    <row r="955" spans="1:9" x14ac:dyDescent="0.3">
      <c r="A955" s="34" t="str">
        <f t="shared" si="16"/>
        <v/>
      </c>
      <c r="F955" s="29"/>
      <c r="G955" s="29"/>
      <c r="H955" s="28"/>
      <c r="I955" s="29"/>
    </row>
    <row r="956" spans="1:9" x14ac:dyDescent="0.3">
      <c r="A956" s="34" t="str">
        <f t="shared" si="16"/>
        <v/>
      </c>
      <c r="F956" s="29"/>
      <c r="G956" s="29"/>
      <c r="H956" s="28"/>
      <c r="I956" s="29"/>
    </row>
    <row r="957" spans="1:9" x14ac:dyDescent="0.3">
      <c r="A957" s="34" t="str">
        <f t="shared" si="16"/>
        <v/>
      </c>
      <c r="F957" s="29"/>
      <c r="G957" s="29"/>
      <c r="H957" s="28"/>
      <c r="I957" s="29"/>
    </row>
    <row r="958" spans="1:9" x14ac:dyDescent="0.3">
      <c r="A958" s="34" t="str">
        <f t="shared" si="16"/>
        <v/>
      </c>
      <c r="F958" s="29"/>
      <c r="G958" s="29"/>
      <c r="H958" s="28"/>
      <c r="I958" s="29"/>
    </row>
    <row r="959" spans="1:9" x14ac:dyDescent="0.3">
      <c r="A959" s="34" t="str">
        <f t="shared" si="16"/>
        <v/>
      </c>
      <c r="F959" s="29"/>
      <c r="G959" s="29"/>
      <c r="H959" s="28"/>
      <c r="I959" s="29"/>
    </row>
    <row r="960" spans="1:9" x14ac:dyDescent="0.3">
      <c r="A960" s="34" t="str">
        <f t="shared" si="16"/>
        <v/>
      </c>
      <c r="F960" s="29"/>
      <c r="G960" s="29"/>
      <c r="H960" s="28"/>
      <c r="I960" s="29"/>
    </row>
    <row r="961" spans="1:9" x14ac:dyDescent="0.3">
      <c r="A961" s="34" t="str">
        <f t="shared" si="16"/>
        <v/>
      </c>
      <c r="F961" s="29"/>
      <c r="G961" s="29"/>
      <c r="H961" s="28"/>
      <c r="I961" s="29"/>
    </row>
    <row r="962" spans="1:9" x14ac:dyDescent="0.3">
      <c r="A962" s="34" t="str">
        <f t="shared" si="16"/>
        <v/>
      </c>
      <c r="F962" s="29"/>
      <c r="G962" s="29"/>
      <c r="H962" s="28"/>
      <c r="I962" s="29"/>
    </row>
    <row r="963" spans="1:9" x14ac:dyDescent="0.3">
      <c r="A963" s="34" t="str">
        <f t="shared" si="16"/>
        <v/>
      </c>
      <c r="F963" s="29"/>
      <c r="G963" s="29"/>
      <c r="H963" s="28"/>
      <c r="I963" s="29"/>
    </row>
    <row r="964" spans="1:9" x14ac:dyDescent="0.3">
      <c r="A964" s="34" t="str">
        <f t="shared" si="16"/>
        <v/>
      </c>
      <c r="F964" s="29"/>
      <c r="G964" s="29"/>
      <c r="H964" s="28"/>
      <c r="I964" s="29"/>
    </row>
    <row r="965" spans="1:9" x14ac:dyDescent="0.3">
      <c r="A965" s="34" t="str">
        <f t="shared" si="16"/>
        <v/>
      </c>
      <c r="F965" s="29"/>
      <c r="G965" s="29"/>
      <c r="H965" s="28"/>
      <c r="I965" s="29"/>
    </row>
    <row r="966" spans="1:9" x14ac:dyDescent="0.3">
      <c r="A966" s="34" t="str">
        <f t="shared" si="16"/>
        <v/>
      </c>
      <c r="F966" s="29"/>
      <c r="G966" s="29"/>
      <c r="H966" s="28"/>
      <c r="I966" s="29"/>
    </row>
    <row r="967" spans="1:9" x14ac:dyDescent="0.3">
      <c r="A967" s="34" t="str">
        <f t="shared" si="16"/>
        <v/>
      </c>
      <c r="F967" s="29"/>
      <c r="G967" s="29"/>
      <c r="H967" s="28"/>
      <c r="I967" s="29"/>
    </row>
    <row r="968" spans="1:9" x14ac:dyDescent="0.3">
      <c r="A968" s="34" t="str">
        <f t="shared" si="16"/>
        <v/>
      </c>
      <c r="F968" s="29"/>
      <c r="G968" s="29"/>
      <c r="H968" s="28"/>
      <c r="I968" s="29"/>
    </row>
    <row r="969" spans="1:9" x14ac:dyDescent="0.3">
      <c r="A969" s="34" t="str">
        <f t="shared" si="16"/>
        <v/>
      </c>
      <c r="F969" s="29"/>
      <c r="G969" s="29"/>
      <c r="H969" s="28"/>
      <c r="I969" s="29"/>
    </row>
    <row r="970" spans="1:9" x14ac:dyDescent="0.3">
      <c r="A970" s="34" t="str">
        <f t="shared" si="16"/>
        <v/>
      </c>
      <c r="F970" s="29"/>
      <c r="G970" s="29"/>
      <c r="H970" s="28"/>
      <c r="I970" s="29"/>
    </row>
    <row r="971" spans="1:9" x14ac:dyDescent="0.3">
      <c r="A971" s="34" t="str">
        <f t="shared" si="16"/>
        <v/>
      </c>
      <c r="F971" s="29"/>
      <c r="G971" s="29"/>
      <c r="H971" s="28"/>
      <c r="I971" s="29"/>
    </row>
    <row r="972" spans="1:9" x14ac:dyDescent="0.3">
      <c r="A972" s="34" t="str">
        <f t="shared" si="16"/>
        <v/>
      </c>
      <c r="F972" s="29"/>
      <c r="G972" s="29"/>
      <c r="H972" s="28"/>
      <c r="I972" s="29"/>
    </row>
    <row r="973" spans="1:9" x14ac:dyDescent="0.3">
      <c r="A973" s="34" t="str">
        <f t="shared" si="16"/>
        <v/>
      </c>
      <c r="F973" s="29"/>
      <c r="G973" s="29"/>
      <c r="H973" s="28"/>
      <c r="I973" s="29"/>
    </row>
    <row r="974" spans="1:9" x14ac:dyDescent="0.3">
      <c r="A974" s="34" t="str">
        <f t="shared" si="16"/>
        <v/>
      </c>
      <c r="F974" s="29"/>
      <c r="G974" s="29"/>
      <c r="H974" s="28"/>
      <c r="I974" s="29"/>
    </row>
    <row r="975" spans="1:9" x14ac:dyDescent="0.3">
      <c r="A975" s="34" t="str">
        <f t="shared" ref="A975:A1011" si="17">C975&amp;E975</f>
        <v/>
      </c>
      <c r="F975" s="29"/>
      <c r="G975" s="29"/>
      <c r="H975" s="28"/>
      <c r="I975" s="29"/>
    </row>
    <row r="976" spans="1:9" x14ac:dyDescent="0.3">
      <c r="A976" s="34" t="str">
        <f t="shared" si="17"/>
        <v/>
      </c>
      <c r="F976" s="29"/>
      <c r="G976" s="29"/>
      <c r="H976" s="28"/>
      <c r="I976" s="29"/>
    </row>
    <row r="977" spans="1:9" x14ac:dyDescent="0.3">
      <c r="A977" s="34" t="str">
        <f t="shared" si="17"/>
        <v/>
      </c>
      <c r="F977" s="29"/>
      <c r="G977" s="29"/>
      <c r="H977" s="28"/>
      <c r="I977" s="29"/>
    </row>
    <row r="978" spans="1:9" x14ac:dyDescent="0.3">
      <c r="A978" s="34" t="str">
        <f t="shared" si="17"/>
        <v/>
      </c>
      <c r="F978" s="29"/>
      <c r="G978" s="29"/>
      <c r="H978" s="28"/>
      <c r="I978" s="29"/>
    </row>
    <row r="979" spans="1:9" x14ac:dyDescent="0.3">
      <c r="A979" s="34" t="str">
        <f t="shared" si="17"/>
        <v/>
      </c>
      <c r="F979" s="29"/>
      <c r="G979" s="29"/>
      <c r="H979" s="28"/>
      <c r="I979" s="29"/>
    </row>
    <row r="980" spans="1:9" x14ac:dyDescent="0.3">
      <c r="A980" s="34" t="str">
        <f t="shared" si="17"/>
        <v/>
      </c>
      <c r="F980" s="29"/>
      <c r="G980" s="29"/>
      <c r="H980" s="28"/>
      <c r="I980" s="29"/>
    </row>
    <row r="981" spans="1:9" x14ac:dyDescent="0.3">
      <c r="A981" s="34" t="str">
        <f t="shared" si="17"/>
        <v/>
      </c>
      <c r="F981" s="29"/>
      <c r="G981" s="29"/>
      <c r="H981" s="28"/>
      <c r="I981" s="29"/>
    </row>
    <row r="982" spans="1:9" x14ac:dyDescent="0.3">
      <c r="A982" s="34" t="str">
        <f t="shared" si="17"/>
        <v/>
      </c>
      <c r="F982" s="29"/>
      <c r="G982" s="29"/>
      <c r="H982" s="28"/>
      <c r="I982" s="29"/>
    </row>
    <row r="983" spans="1:9" x14ac:dyDescent="0.3">
      <c r="A983" s="34" t="str">
        <f t="shared" si="17"/>
        <v/>
      </c>
      <c r="F983" s="29"/>
      <c r="G983" s="29"/>
      <c r="H983" s="28"/>
      <c r="I983" s="29"/>
    </row>
    <row r="984" spans="1:9" x14ac:dyDescent="0.3">
      <c r="A984" s="34" t="str">
        <f t="shared" si="17"/>
        <v/>
      </c>
      <c r="F984" s="29"/>
      <c r="G984" s="29"/>
      <c r="H984" s="28"/>
      <c r="I984" s="29"/>
    </row>
    <row r="985" spans="1:9" x14ac:dyDescent="0.3">
      <c r="A985" s="34" t="str">
        <f t="shared" si="17"/>
        <v/>
      </c>
      <c r="F985" s="29"/>
      <c r="G985" s="29"/>
      <c r="H985" s="28"/>
      <c r="I985" s="29"/>
    </row>
    <row r="986" spans="1:9" x14ac:dyDescent="0.3">
      <c r="A986" s="34" t="str">
        <f t="shared" si="17"/>
        <v/>
      </c>
      <c r="F986" s="29"/>
      <c r="G986" s="29"/>
      <c r="H986" s="28"/>
      <c r="I986" s="29"/>
    </row>
    <row r="987" spans="1:9" x14ac:dyDescent="0.3">
      <c r="A987" s="34" t="str">
        <f t="shared" si="17"/>
        <v/>
      </c>
      <c r="F987" s="29"/>
      <c r="G987" s="29"/>
      <c r="H987" s="28"/>
      <c r="I987" s="29"/>
    </row>
    <row r="988" spans="1:9" x14ac:dyDescent="0.3">
      <c r="A988" s="34" t="str">
        <f t="shared" si="17"/>
        <v/>
      </c>
      <c r="F988" s="29"/>
      <c r="G988" s="29"/>
      <c r="H988" s="28"/>
      <c r="I988" s="29"/>
    </row>
    <row r="989" spans="1:9" x14ac:dyDescent="0.3">
      <c r="A989" s="34" t="str">
        <f t="shared" si="17"/>
        <v/>
      </c>
      <c r="F989" s="29"/>
      <c r="G989" s="29"/>
      <c r="H989" s="28"/>
      <c r="I989" s="29"/>
    </row>
    <row r="990" spans="1:9" x14ac:dyDescent="0.3">
      <c r="A990" s="34" t="str">
        <f t="shared" si="17"/>
        <v/>
      </c>
      <c r="F990" s="29"/>
      <c r="G990" s="29"/>
      <c r="H990" s="28"/>
      <c r="I990" s="29"/>
    </row>
    <row r="991" spans="1:9" x14ac:dyDescent="0.3">
      <c r="A991" s="34" t="str">
        <f t="shared" si="17"/>
        <v/>
      </c>
      <c r="F991" s="29"/>
      <c r="G991" s="29"/>
      <c r="H991" s="28"/>
      <c r="I991" s="29"/>
    </row>
    <row r="992" spans="1:9" x14ac:dyDescent="0.3">
      <c r="A992" s="34" t="str">
        <f t="shared" si="17"/>
        <v/>
      </c>
      <c r="F992" s="29"/>
      <c r="G992" s="29"/>
      <c r="H992" s="28"/>
      <c r="I992" s="29"/>
    </row>
    <row r="993" spans="1:9" x14ac:dyDescent="0.3">
      <c r="A993" s="34" t="str">
        <f t="shared" si="17"/>
        <v/>
      </c>
      <c r="F993" s="29"/>
      <c r="G993" s="29"/>
      <c r="H993" s="28"/>
      <c r="I993" s="29"/>
    </row>
    <row r="994" spans="1:9" x14ac:dyDescent="0.3">
      <c r="A994" s="34" t="str">
        <f t="shared" si="17"/>
        <v/>
      </c>
      <c r="F994" s="29"/>
      <c r="G994" s="29"/>
      <c r="H994" s="28"/>
      <c r="I994" s="29"/>
    </row>
    <row r="995" spans="1:9" x14ac:dyDescent="0.3">
      <c r="A995" s="34" t="str">
        <f t="shared" si="17"/>
        <v/>
      </c>
      <c r="F995" s="29"/>
      <c r="G995" s="29"/>
      <c r="H995" s="28"/>
      <c r="I995" s="29"/>
    </row>
    <row r="996" spans="1:9" x14ac:dyDescent="0.3">
      <c r="A996" s="34" t="str">
        <f t="shared" si="17"/>
        <v/>
      </c>
      <c r="F996" s="29"/>
      <c r="G996" s="29"/>
      <c r="H996" s="28"/>
      <c r="I996" s="29"/>
    </row>
    <row r="997" spans="1:9" x14ac:dyDescent="0.3">
      <c r="A997" s="34" t="str">
        <f t="shared" si="17"/>
        <v/>
      </c>
      <c r="F997" s="29"/>
      <c r="G997" s="29"/>
      <c r="H997" s="28"/>
      <c r="I997" s="29"/>
    </row>
    <row r="998" spans="1:9" x14ac:dyDescent="0.3">
      <c r="A998" s="34" t="str">
        <f t="shared" si="17"/>
        <v/>
      </c>
      <c r="F998" s="29"/>
      <c r="G998" s="29"/>
      <c r="H998" s="28"/>
      <c r="I998" s="29"/>
    </row>
    <row r="999" spans="1:9" x14ac:dyDescent="0.3">
      <c r="A999" s="34" t="str">
        <f t="shared" si="17"/>
        <v/>
      </c>
      <c r="F999" s="29"/>
      <c r="G999" s="29"/>
      <c r="H999" s="28"/>
      <c r="I999" s="29"/>
    </row>
    <row r="1000" spans="1:9" x14ac:dyDescent="0.3">
      <c r="A1000" s="34" t="str">
        <f t="shared" si="17"/>
        <v/>
      </c>
      <c r="F1000" s="29"/>
      <c r="G1000" s="29"/>
      <c r="H1000" s="28"/>
      <c r="I1000" s="29"/>
    </row>
    <row r="1001" spans="1:9" x14ac:dyDescent="0.3">
      <c r="A1001" s="34" t="str">
        <f t="shared" si="17"/>
        <v/>
      </c>
      <c r="F1001" s="29"/>
      <c r="G1001" s="29"/>
      <c r="H1001" s="28"/>
      <c r="I1001" s="29"/>
    </row>
    <row r="1002" spans="1:9" x14ac:dyDescent="0.3">
      <c r="A1002" s="34" t="str">
        <f t="shared" si="17"/>
        <v/>
      </c>
      <c r="F1002" s="29"/>
      <c r="G1002" s="29"/>
      <c r="H1002" s="28"/>
      <c r="I1002" s="29"/>
    </row>
    <row r="1003" spans="1:9" x14ac:dyDescent="0.3">
      <c r="A1003" s="34" t="str">
        <f t="shared" si="17"/>
        <v/>
      </c>
      <c r="F1003" s="29"/>
      <c r="G1003" s="29"/>
      <c r="H1003" s="28"/>
      <c r="I1003" s="29"/>
    </row>
    <row r="1004" spans="1:9" x14ac:dyDescent="0.3">
      <c r="A1004" s="34" t="str">
        <f t="shared" si="17"/>
        <v/>
      </c>
      <c r="F1004" s="29"/>
      <c r="G1004" s="29"/>
      <c r="H1004" s="28"/>
      <c r="I1004" s="29"/>
    </row>
    <row r="1005" spans="1:9" x14ac:dyDescent="0.3">
      <c r="A1005" s="34" t="str">
        <f t="shared" si="17"/>
        <v/>
      </c>
      <c r="F1005" s="29"/>
      <c r="G1005" s="29"/>
      <c r="H1005" s="28"/>
      <c r="I1005" s="29"/>
    </row>
    <row r="1006" spans="1:9" x14ac:dyDescent="0.3">
      <c r="A1006" s="34" t="str">
        <f t="shared" si="17"/>
        <v/>
      </c>
      <c r="F1006" s="29"/>
      <c r="G1006" s="29"/>
      <c r="H1006" s="28"/>
      <c r="I1006" s="29"/>
    </row>
    <row r="1007" spans="1:9" x14ac:dyDescent="0.3">
      <c r="A1007" s="34" t="str">
        <f t="shared" si="17"/>
        <v/>
      </c>
      <c r="F1007" s="29"/>
      <c r="G1007" s="29"/>
      <c r="H1007" s="28"/>
      <c r="I1007" s="29"/>
    </row>
    <row r="1008" spans="1:9" x14ac:dyDescent="0.3">
      <c r="A1008" s="34" t="str">
        <f t="shared" si="17"/>
        <v/>
      </c>
      <c r="F1008" s="29"/>
      <c r="G1008" s="29"/>
      <c r="H1008" s="28"/>
      <c r="I1008" s="29"/>
    </row>
    <row r="1009" spans="1:9" x14ac:dyDescent="0.3">
      <c r="A1009" s="34" t="str">
        <f t="shared" si="17"/>
        <v/>
      </c>
      <c r="F1009" s="29"/>
      <c r="G1009" s="29"/>
      <c r="H1009" s="28"/>
      <c r="I1009" s="29"/>
    </row>
    <row r="1010" spans="1:9" x14ac:dyDescent="0.3">
      <c r="A1010" s="34" t="str">
        <f t="shared" si="17"/>
        <v/>
      </c>
      <c r="F1010" s="29"/>
      <c r="G1010" s="29"/>
      <c r="H1010" s="28"/>
      <c r="I1010" s="29"/>
    </row>
    <row r="1011" spans="1:9" x14ac:dyDescent="0.3">
      <c r="A1011" s="34" t="str">
        <f t="shared" si="17"/>
        <v/>
      </c>
      <c r="F1011" s="29"/>
      <c r="G1011" s="29"/>
      <c r="H1011" s="28"/>
      <c r="I1011" s="29"/>
    </row>
    <row r="1012" spans="1:9" x14ac:dyDescent="0.3">
      <c r="F1012" s="29"/>
      <c r="G1012" s="29"/>
      <c r="H1012" s="28"/>
      <c r="I1012" s="29"/>
    </row>
    <row r="1013" spans="1:9" x14ac:dyDescent="0.3">
      <c r="F1013" s="29"/>
      <c r="G1013" s="29"/>
      <c r="H1013" s="28"/>
      <c r="I1013" s="29"/>
    </row>
    <row r="1014" spans="1:9" x14ac:dyDescent="0.3">
      <c r="F1014" s="28"/>
      <c r="G1014" s="29"/>
      <c r="H1014" s="28"/>
      <c r="I1014" s="29"/>
    </row>
    <row r="1015" spans="1:9" x14ac:dyDescent="0.3">
      <c r="F1015" s="28"/>
      <c r="G1015" s="29"/>
      <c r="H1015" s="28"/>
      <c r="I1015" s="29"/>
    </row>
    <row r="1016" spans="1:9" x14ac:dyDescent="0.3">
      <c r="F1016" s="28"/>
      <c r="G1016" s="29"/>
      <c r="H1016" s="28"/>
      <c r="I1016" s="29"/>
    </row>
    <row r="1017" spans="1:9" x14ac:dyDescent="0.3">
      <c r="F1017" s="28"/>
      <c r="G1017" s="29"/>
      <c r="H1017" s="28"/>
      <c r="I1017" s="29"/>
    </row>
    <row r="1018" spans="1:9" x14ac:dyDescent="0.3">
      <c r="F1018" s="28"/>
      <c r="G1018" s="29"/>
      <c r="H1018" s="28"/>
      <c r="I1018" s="29"/>
    </row>
    <row r="1019" spans="1:9" x14ac:dyDescent="0.3">
      <c r="F1019" s="28"/>
      <c r="G1019" s="29"/>
      <c r="H1019" s="28"/>
      <c r="I1019" s="29"/>
    </row>
    <row r="1020" spans="1:9" x14ac:dyDescent="0.3">
      <c r="F1020" s="28"/>
      <c r="G1020" s="29"/>
      <c r="H1020" s="28"/>
      <c r="I1020" s="29"/>
    </row>
    <row r="1021" spans="1:9" x14ac:dyDescent="0.3">
      <c r="F1021" s="28"/>
      <c r="G1021" s="29"/>
      <c r="H1021" s="28"/>
      <c r="I1021" s="29"/>
    </row>
    <row r="1022" spans="1:9" x14ac:dyDescent="0.3">
      <c r="F1022" s="28"/>
      <c r="G1022" s="29"/>
      <c r="H1022" s="28"/>
      <c r="I1022" s="29"/>
    </row>
    <row r="1023" spans="1:9" x14ac:dyDescent="0.3">
      <c r="F1023" s="29"/>
      <c r="G1023" s="29"/>
      <c r="H1023" s="28"/>
      <c r="I1023" s="29"/>
    </row>
    <row r="1024" spans="1:9" x14ac:dyDescent="0.3">
      <c r="F1024" s="29"/>
      <c r="G1024" s="29"/>
      <c r="H1024" s="28"/>
      <c r="I1024" s="29"/>
    </row>
    <row r="1025" spans="6:9" x14ac:dyDescent="0.3">
      <c r="F1025" s="29"/>
      <c r="G1025" s="29"/>
      <c r="H1025" s="28"/>
      <c r="I1025" s="29"/>
    </row>
    <row r="1026" spans="6:9" x14ac:dyDescent="0.3">
      <c r="F1026" s="29"/>
      <c r="G1026" s="29"/>
      <c r="H1026" s="28"/>
      <c r="I1026" s="29"/>
    </row>
    <row r="1027" spans="6:9" x14ac:dyDescent="0.3">
      <c r="F1027" s="29"/>
      <c r="G1027" s="29"/>
      <c r="H1027" s="28"/>
      <c r="I1027" s="29"/>
    </row>
    <row r="1028" spans="6:9" x14ac:dyDescent="0.3">
      <c r="F1028" s="29"/>
      <c r="G1028" s="29"/>
      <c r="H1028" s="28"/>
      <c r="I1028" s="29"/>
    </row>
    <row r="1029" spans="6:9" x14ac:dyDescent="0.3">
      <c r="F1029" s="29"/>
      <c r="G1029" s="29"/>
      <c r="H1029" s="28"/>
      <c r="I1029" s="29"/>
    </row>
    <row r="1030" spans="6:9" x14ac:dyDescent="0.3">
      <c r="F1030" s="29"/>
      <c r="G1030" s="29"/>
      <c r="H1030" s="28"/>
      <c r="I1030" s="29"/>
    </row>
    <row r="1031" spans="6:9" x14ac:dyDescent="0.3">
      <c r="F1031" s="29"/>
      <c r="G1031" s="29"/>
      <c r="H1031" s="28"/>
      <c r="I1031" s="29"/>
    </row>
    <row r="1032" spans="6:9" x14ac:dyDescent="0.3">
      <c r="F1032" s="29"/>
      <c r="G1032" s="29"/>
      <c r="H1032" s="28"/>
      <c r="I1032" s="29"/>
    </row>
    <row r="1033" spans="6:9" x14ac:dyDescent="0.3">
      <c r="F1033" s="29"/>
      <c r="G1033" s="29"/>
      <c r="H1033" s="28"/>
      <c r="I1033" s="29"/>
    </row>
    <row r="1034" spans="6:9" x14ac:dyDescent="0.3">
      <c r="F1034" s="29"/>
      <c r="G1034" s="29"/>
      <c r="H1034" s="28"/>
      <c r="I1034" s="29"/>
    </row>
    <row r="1035" spans="6:9" x14ac:dyDescent="0.3">
      <c r="F1035" s="29"/>
      <c r="G1035" s="29"/>
      <c r="H1035" s="28"/>
      <c r="I1035" s="29"/>
    </row>
    <row r="1036" spans="6:9" x14ac:dyDescent="0.3">
      <c r="F1036" s="29"/>
      <c r="G1036" s="29"/>
      <c r="H1036" s="28"/>
      <c r="I1036" s="29"/>
    </row>
    <row r="1037" spans="6:9" x14ac:dyDescent="0.3">
      <c r="F1037" s="29"/>
      <c r="G1037" s="29"/>
      <c r="H1037" s="28"/>
      <c r="I1037" s="29"/>
    </row>
    <row r="1038" spans="6:9" x14ac:dyDescent="0.3">
      <c r="F1038" s="29"/>
      <c r="G1038" s="29"/>
      <c r="H1038" s="28"/>
      <c r="I1038" s="29"/>
    </row>
    <row r="1039" spans="6:9" x14ac:dyDescent="0.3">
      <c r="F1039" s="29"/>
      <c r="G1039" s="29"/>
      <c r="H1039" s="28"/>
      <c r="I1039" s="29"/>
    </row>
    <row r="1040" spans="6:9" x14ac:dyDescent="0.3">
      <c r="F1040" s="29"/>
      <c r="G1040" s="29"/>
      <c r="H1040" s="28"/>
      <c r="I1040" s="29"/>
    </row>
    <row r="1041" spans="6:9" x14ac:dyDescent="0.3">
      <c r="F1041" s="29"/>
      <c r="G1041" s="29"/>
      <c r="H1041" s="28"/>
      <c r="I1041" s="29"/>
    </row>
    <row r="1042" spans="6:9" x14ac:dyDescent="0.3">
      <c r="F1042" s="29"/>
      <c r="G1042" s="29"/>
      <c r="H1042" s="28"/>
      <c r="I1042" s="29"/>
    </row>
    <row r="1043" spans="6:9" x14ac:dyDescent="0.3">
      <c r="F1043" s="29"/>
      <c r="G1043" s="29"/>
      <c r="H1043" s="28"/>
      <c r="I1043" s="29"/>
    </row>
    <row r="1044" spans="6:9" x14ac:dyDescent="0.3">
      <c r="F1044" s="29"/>
      <c r="G1044" s="29"/>
      <c r="H1044" s="28"/>
      <c r="I1044" s="29"/>
    </row>
    <row r="1045" spans="6:9" x14ac:dyDescent="0.3">
      <c r="F1045" s="29"/>
      <c r="G1045" s="29"/>
      <c r="H1045" s="28"/>
      <c r="I1045" s="29"/>
    </row>
    <row r="1046" spans="6:9" x14ac:dyDescent="0.3">
      <c r="F1046" s="29"/>
      <c r="G1046" s="29"/>
      <c r="H1046" s="28"/>
      <c r="I1046" s="29"/>
    </row>
    <row r="1047" spans="6:9" x14ac:dyDescent="0.3">
      <c r="F1047" s="29"/>
      <c r="G1047" s="29"/>
      <c r="H1047" s="28"/>
      <c r="I1047" s="29"/>
    </row>
    <row r="1048" spans="6:9" x14ac:dyDescent="0.3">
      <c r="F1048" s="29"/>
      <c r="G1048" s="29"/>
      <c r="H1048" s="28"/>
      <c r="I1048" s="29"/>
    </row>
    <row r="1049" spans="6:9" x14ac:dyDescent="0.3">
      <c r="F1049" s="29"/>
      <c r="G1049" s="29"/>
      <c r="H1049" s="28"/>
      <c r="I1049" s="29"/>
    </row>
    <row r="1050" spans="6:9" x14ac:dyDescent="0.3">
      <c r="F1050" s="29"/>
      <c r="G1050" s="29"/>
      <c r="H1050" s="28"/>
      <c r="I1050" s="29"/>
    </row>
    <row r="1051" spans="6:9" x14ac:dyDescent="0.3">
      <c r="F1051" s="29"/>
      <c r="G1051" s="29"/>
      <c r="H1051" s="28"/>
      <c r="I1051" s="29"/>
    </row>
    <row r="1052" spans="6:9" x14ac:dyDescent="0.3">
      <c r="F1052" s="29"/>
      <c r="G1052" s="29"/>
      <c r="H1052" s="28"/>
      <c r="I1052" s="29"/>
    </row>
    <row r="1053" spans="6:9" x14ac:dyDescent="0.3">
      <c r="F1053" s="29"/>
      <c r="G1053" s="29"/>
      <c r="H1053" s="28"/>
      <c r="I1053" s="29"/>
    </row>
    <row r="1054" spans="6:9" x14ac:dyDescent="0.3">
      <c r="F1054" s="29"/>
      <c r="G1054" s="29"/>
      <c r="H1054" s="28"/>
      <c r="I1054" s="29"/>
    </row>
    <row r="1055" spans="6:9" x14ac:dyDescent="0.3">
      <c r="F1055" s="29"/>
      <c r="G1055" s="29"/>
      <c r="H1055" s="28"/>
      <c r="I1055" s="29"/>
    </row>
    <row r="1056" spans="6:9" x14ac:dyDescent="0.3">
      <c r="F1056" s="29"/>
      <c r="G1056" s="29"/>
      <c r="H1056" s="28"/>
      <c r="I1056" s="29"/>
    </row>
    <row r="1057" spans="6:9" x14ac:dyDescent="0.3">
      <c r="F1057" s="29"/>
      <c r="G1057" s="29"/>
      <c r="H1057" s="28"/>
      <c r="I1057" s="29"/>
    </row>
    <row r="1058" spans="6:9" x14ac:dyDescent="0.3">
      <c r="F1058" s="29"/>
      <c r="G1058" s="29"/>
      <c r="H1058" s="28"/>
      <c r="I1058" s="29"/>
    </row>
    <row r="1059" spans="6:9" x14ac:dyDescent="0.3">
      <c r="F1059" s="29"/>
      <c r="G1059" s="29"/>
      <c r="H1059" s="28"/>
      <c r="I1059" s="29"/>
    </row>
    <row r="1060" spans="6:9" x14ac:dyDescent="0.3">
      <c r="F1060" s="29"/>
      <c r="G1060" s="29"/>
      <c r="H1060" s="28"/>
      <c r="I1060" s="29"/>
    </row>
    <row r="1061" spans="6:9" x14ac:dyDescent="0.3">
      <c r="F1061" s="29"/>
      <c r="G1061" s="29"/>
      <c r="H1061" s="28"/>
      <c r="I1061" s="29"/>
    </row>
    <row r="1062" spans="6:9" x14ac:dyDescent="0.3">
      <c r="F1062" s="29"/>
      <c r="G1062" s="29"/>
      <c r="H1062" s="28"/>
      <c r="I1062" s="29"/>
    </row>
    <row r="1063" spans="6:9" x14ac:dyDescent="0.3">
      <c r="F1063" s="29"/>
      <c r="G1063" s="29"/>
      <c r="H1063" s="28"/>
      <c r="I1063" s="29"/>
    </row>
    <row r="1064" spans="6:9" x14ac:dyDescent="0.3">
      <c r="F1064" s="29"/>
      <c r="G1064" s="29"/>
      <c r="H1064" s="28"/>
      <c r="I1064" s="29"/>
    </row>
    <row r="1065" spans="6:9" x14ac:dyDescent="0.3">
      <c r="F1065" s="29"/>
      <c r="G1065" s="29"/>
      <c r="H1065" s="28"/>
      <c r="I1065" s="29"/>
    </row>
    <row r="1066" spans="6:9" x14ac:dyDescent="0.3">
      <c r="F1066" s="29"/>
      <c r="G1066" s="29"/>
      <c r="H1066" s="28"/>
      <c r="I1066" s="29"/>
    </row>
    <row r="1067" spans="6:9" x14ac:dyDescent="0.3">
      <c r="F1067" s="29"/>
      <c r="G1067" s="29"/>
      <c r="H1067" s="28"/>
      <c r="I1067" s="29"/>
    </row>
    <row r="1068" spans="6:9" x14ac:dyDescent="0.3">
      <c r="F1068" s="29"/>
      <c r="G1068" s="29"/>
      <c r="H1068" s="28"/>
      <c r="I1068" s="29"/>
    </row>
    <row r="1069" spans="6:9" x14ac:dyDescent="0.3">
      <c r="F1069" s="29"/>
      <c r="G1069" s="29"/>
      <c r="H1069" s="28"/>
      <c r="I1069" s="29"/>
    </row>
    <row r="1070" spans="6:9" x14ac:dyDescent="0.3">
      <c r="F1070" s="29"/>
      <c r="G1070" s="29"/>
      <c r="H1070" s="28"/>
      <c r="I1070" s="29"/>
    </row>
    <row r="1071" spans="6:9" x14ac:dyDescent="0.3">
      <c r="F1071" s="29"/>
      <c r="G1071" s="29"/>
      <c r="H1071" s="28"/>
      <c r="I1071" s="29"/>
    </row>
    <row r="1072" spans="6:9" x14ac:dyDescent="0.3">
      <c r="F1072" s="29"/>
      <c r="G1072" s="29"/>
      <c r="H1072" s="28"/>
      <c r="I1072" s="29"/>
    </row>
    <row r="1073" spans="6:9" x14ac:dyDescent="0.3">
      <c r="F1073" s="29"/>
      <c r="G1073" s="29"/>
      <c r="H1073" s="28"/>
      <c r="I1073" s="29"/>
    </row>
    <row r="1074" spans="6:9" x14ac:dyDescent="0.3">
      <c r="F1074" s="29"/>
      <c r="G1074" s="29"/>
      <c r="H1074" s="28"/>
      <c r="I1074" s="29"/>
    </row>
    <row r="1075" spans="6:9" x14ac:dyDescent="0.3">
      <c r="F1075" s="29"/>
      <c r="G1075" s="29"/>
      <c r="H1075" s="28"/>
      <c r="I1075" s="29"/>
    </row>
    <row r="1076" spans="6:9" x14ac:dyDescent="0.3">
      <c r="F1076" s="29"/>
      <c r="G1076" s="29"/>
      <c r="H1076" s="28"/>
      <c r="I1076" s="29"/>
    </row>
    <row r="1077" spans="6:9" x14ac:dyDescent="0.3">
      <c r="F1077" s="29"/>
      <c r="G1077" s="29"/>
      <c r="H1077" s="28"/>
      <c r="I1077" s="29"/>
    </row>
    <row r="1078" spans="6:9" x14ac:dyDescent="0.3">
      <c r="F1078" s="29"/>
      <c r="G1078" s="29"/>
      <c r="H1078" s="28"/>
      <c r="I1078" s="29"/>
    </row>
    <row r="1079" spans="6:9" x14ac:dyDescent="0.3">
      <c r="F1079" s="29"/>
      <c r="G1079" s="29"/>
      <c r="H1079" s="28"/>
      <c r="I1079" s="29"/>
    </row>
    <row r="1080" spans="6:9" x14ac:dyDescent="0.3">
      <c r="F1080" s="29"/>
      <c r="G1080" s="29"/>
      <c r="H1080" s="28"/>
      <c r="I1080" s="29"/>
    </row>
    <row r="1081" spans="6:9" x14ac:dyDescent="0.3">
      <c r="F1081" s="29"/>
      <c r="G1081" s="29"/>
      <c r="H1081" s="28"/>
      <c r="I1081" s="29"/>
    </row>
    <row r="1082" spans="6:9" x14ac:dyDescent="0.3">
      <c r="F1082" s="29"/>
      <c r="G1082" s="29"/>
      <c r="H1082" s="28"/>
      <c r="I1082" s="29"/>
    </row>
    <row r="1083" spans="6:9" x14ac:dyDescent="0.3">
      <c r="F1083" s="29"/>
      <c r="G1083" s="29"/>
      <c r="H1083" s="28"/>
      <c r="I1083" s="29"/>
    </row>
    <row r="1084" spans="6:9" x14ac:dyDescent="0.3">
      <c r="F1084" s="29"/>
      <c r="G1084" s="29"/>
      <c r="H1084" s="28"/>
      <c r="I1084" s="29"/>
    </row>
    <row r="1085" spans="6:9" x14ac:dyDescent="0.3">
      <c r="F1085" s="29"/>
      <c r="G1085" s="29"/>
      <c r="H1085" s="28"/>
      <c r="I1085" s="29"/>
    </row>
    <row r="1086" spans="6:9" x14ac:dyDescent="0.3">
      <c r="F1086" s="29"/>
      <c r="G1086" s="29"/>
      <c r="H1086" s="28"/>
      <c r="I1086" s="29"/>
    </row>
    <row r="1087" spans="6:9" x14ac:dyDescent="0.3">
      <c r="F1087" s="29"/>
      <c r="G1087" s="29"/>
      <c r="H1087" s="28"/>
      <c r="I1087" s="29"/>
    </row>
    <row r="1088" spans="6:9" x14ac:dyDescent="0.3">
      <c r="F1088" s="29"/>
      <c r="G1088" s="29"/>
      <c r="H1088" s="28"/>
      <c r="I1088" s="29"/>
    </row>
    <row r="1089" spans="6:9" x14ac:dyDescent="0.3">
      <c r="F1089" s="29"/>
      <c r="G1089" s="29"/>
      <c r="H1089" s="28"/>
      <c r="I1089" s="29"/>
    </row>
    <row r="1090" spans="6:9" x14ac:dyDescent="0.3">
      <c r="F1090" s="29"/>
      <c r="G1090" s="29"/>
      <c r="H1090" s="28"/>
      <c r="I1090" s="29"/>
    </row>
    <row r="1091" spans="6:9" x14ac:dyDescent="0.3">
      <c r="F1091" s="29"/>
      <c r="G1091" s="29"/>
      <c r="H1091" s="28"/>
      <c r="I1091" s="29"/>
    </row>
    <row r="1092" spans="6:9" x14ac:dyDescent="0.3">
      <c r="F1092" s="29"/>
      <c r="G1092" s="29"/>
      <c r="H1092" s="28"/>
      <c r="I1092" s="29"/>
    </row>
    <row r="1093" spans="6:9" x14ac:dyDescent="0.3">
      <c r="F1093" s="29"/>
      <c r="G1093" s="29"/>
      <c r="H1093" s="28"/>
      <c r="I1093" s="29"/>
    </row>
    <row r="1094" spans="6:9" x14ac:dyDescent="0.3">
      <c r="F1094" s="29"/>
      <c r="G1094" s="29"/>
      <c r="H1094" s="28"/>
      <c r="I1094" s="29"/>
    </row>
    <row r="1095" spans="6:9" x14ac:dyDescent="0.3">
      <c r="F1095" s="29"/>
      <c r="G1095" s="29"/>
      <c r="H1095" s="28"/>
      <c r="I1095" s="29"/>
    </row>
    <row r="1096" spans="6:9" x14ac:dyDescent="0.3">
      <c r="F1096" s="29"/>
      <c r="G1096" s="29"/>
      <c r="H1096" s="28"/>
      <c r="I1096" s="29"/>
    </row>
    <row r="1097" spans="6:9" x14ac:dyDescent="0.3">
      <c r="F1097" s="29"/>
      <c r="G1097" s="29"/>
      <c r="H1097" s="28"/>
      <c r="I1097" s="29"/>
    </row>
    <row r="1098" spans="6:9" x14ac:dyDescent="0.3">
      <c r="F1098" s="29"/>
      <c r="G1098" s="29"/>
      <c r="H1098" s="28"/>
      <c r="I1098" s="29"/>
    </row>
    <row r="1099" spans="6:9" x14ac:dyDescent="0.3">
      <c r="F1099" s="29"/>
      <c r="G1099" s="29"/>
      <c r="H1099" s="28"/>
      <c r="I1099" s="29"/>
    </row>
    <row r="1100" spans="6:9" x14ac:dyDescent="0.3">
      <c r="F1100" s="29"/>
      <c r="G1100" s="29"/>
      <c r="H1100" s="28"/>
      <c r="I1100" s="29"/>
    </row>
    <row r="1101" spans="6:9" x14ac:dyDescent="0.3">
      <c r="F1101" s="29"/>
      <c r="G1101" s="29"/>
      <c r="H1101" s="28"/>
      <c r="I1101" s="29"/>
    </row>
    <row r="1102" spans="6:9" x14ac:dyDescent="0.3">
      <c r="F1102" s="29"/>
      <c r="G1102" s="29"/>
      <c r="H1102" s="28"/>
      <c r="I1102" s="29"/>
    </row>
    <row r="1103" spans="6:9" x14ac:dyDescent="0.3">
      <c r="F1103" s="29"/>
      <c r="G1103" s="29"/>
      <c r="H1103" s="28"/>
      <c r="I1103" s="29"/>
    </row>
    <row r="1104" spans="6:9" x14ac:dyDescent="0.3">
      <c r="F1104" s="29"/>
      <c r="G1104" s="29"/>
      <c r="H1104" s="28"/>
      <c r="I1104" s="29"/>
    </row>
    <row r="1105" spans="6:9" x14ac:dyDescent="0.3">
      <c r="F1105" s="29"/>
      <c r="G1105" s="29"/>
      <c r="H1105" s="28"/>
      <c r="I1105" s="29"/>
    </row>
    <row r="1106" spans="6:9" x14ac:dyDescent="0.3">
      <c r="F1106" s="29"/>
      <c r="G1106" s="29"/>
      <c r="H1106" s="28"/>
      <c r="I1106" s="29"/>
    </row>
    <row r="1107" spans="6:9" x14ac:dyDescent="0.3">
      <c r="F1107" s="29"/>
      <c r="G1107" s="29"/>
      <c r="H1107" s="28"/>
      <c r="I1107" s="29"/>
    </row>
    <row r="1108" spans="6:9" x14ac:dyDescent="0.3">
      <c r="F1108" s="29"/>
      <c r="G1108" s="29"/>
      <c r="H1108" s="28"/>
      <c r="I1108" s="29"/>
    </row>
    <row r="1109" spans="6:9" x14ac:dyDescent="0.3">
      <c r="F1109" s="29"/>
      <c r="G1109" s="29"/>
      <c r="H1109" s="28"/>
      <c r="I1109" s="29"/>
    </row>
    <row r="1110" spans="6:9" x14ac:dyDescent="0.3">
      <c r="F1110" s="29"/>
      <c r="G1110" s="29"/>
      <c r="H1110" s="28"/>
      <c r="I1110" s="29"/>
    </row>
    <row r="1111" spans="6:9" x14ac:dyDescent="0.3">
      <c r="F1111" s="29"/>
      <c r="G1111" s="29"/>
      <c r="H1111" s="28"/>
      <c r="I1111" s="29"/>
    </row>
    <row r="1112" spans="6:9" x14ac:dyDescent="0.3">
      <c r="F1112" s="29"/>
      <c r="G1112" s="29"/>
      <c r="H1112" s="28"/>
      <c r="I1112" s="29"/>
    </row>
    <row r="1113" spans="6:9" x14ac:dyDescent="0.3">
      <c r="F1113" s="29"/>
      <c r="G1113" s="29"/>
      <c r="H1113" s="28"/>
      <c r="I1113" s="29"/>
    </row>
    <row r="1114" spans="6:9" x14ac:dyDescent="0.3">
      <c r="F1114" s="29"/>
      <c r="G1114" s="29"/>
      <c r="H1114" s="28"/>
      <c r="I1114" s="29"/>
    </row>
    <row r="1115" spans="6:9" x14ac:dyDescent="0.3">
      <c r="F1115" s="29"/>
      <c r="G1115" s="29"/>
      <c r="H1115" s="28"/>
      <c r="I1115" s="29"/>
    </row>
    <row r="1116" spans="6:9" x14ac:dyDescent="0.3">
      <c r="F1116" s="29"/>
      <c r="G1116" s="29"/>
      <c r="H1116" s="28"/>
      <c r="I1116" s="29"/>
    </row>
    <row r="1117" spans="6:9" x14ac:dyDescent="0.3">
      <c r="F1117" s="29"/>
      <c r="G1117" s="29"/>
      <c r="H1117" s="28"/>
      <c r="I1117" s="29"/>
    </row>
    <row r="1118" spans="6:9" x14ac:dyDescent="0.3">
      <c r="F1118" s="29"/>
      <c r="G1118" s="29"/>
      <c r="H1118" s="28"/>
      <c r="I1118" s="29"/>
    </row>
    <row r="1119" spans="6:9" x14ac:dyDescent="0.3">
      <c r="F1119" s="29"/>
      <c r="G1119" s="29"/>
      <c r="H1119" s="28"/>
      <c r="I1119" s="29"/>
    </row>
    <row r="1120" spans="6:9" x14ac:dyDescent="0.3">
      <c r="F1120" s="29"/>
      <c r="G1120" s="29"/>
      <c r="H1120" s="28"/>
      <c r="I1120" s="29"/>
    </row>
    <row r="1121" spans="6:9" x14ac:dyDescent="0.3">
      <c r="F1121" s="29"/>
      <c r="G1121" s="29"/>
      <c r="H1121" s="28"/>
      <c r="I1121" s="29"/>
    </row>
    <row r="1122" spans="6:9" x14ac:dyDescent="0.3">
      <c r="F1122" s="29"/>
      <c r="G1122" s="29"/>
      <c r="H1122" s="28"/>
      <c r="I1122" s="29"/>
    </row>
    <row r="1123" spans="6:9" x14ac:dyDescent="0.3">
      <c r="F1123" s="29"/>
      <c r="G1123" s="29"/>
      <c r="H1123" s="28"/>
      <c r="I1123" s="29"/>
    </row>
    <row r="1124" spans="6:9" x14ac:dyDescent="0.3">
      <c r="F1124" s="29"/>
      <c r="G1124" s="29"/>
      <c r="H1124" s="28"/>
      <c r="I1124" s="29"/>
    </row>
    <row r="1125" spans="6:9" x14ac:dyDescent="0.3">
      <c r="F1125" s="29"/>
      <c r="G1125" s="29"/>
      <c r="H1125" s="28"/>
      <c r="I1125" s="29"/>
    </row>
    <row r="1126" spans="6:9" x14ac:dyDescent="0.3">
      <c r="F1126" s="29"/>
      <c r="G1126" s="29"/>
      <c r="H1126" s="28"/>
      <c r="I1126" s="29"/>
    </row>
    <row r="1127" spans="6:9" x14ac:dyDescent="0.3">
      <c r="F1127" s="29"/>
      <c r="G1127" s="29"/>
      <c r="H1127" s="28"/>
      <c r="I1127" s="29"/>
    </row>
    <row r="1128" spans="6:9" x14ac:dyDescent="0.3">
      <c r="F1128" s="29"/>
      <c r="G1128" s="29"/>
      <c r="H1128" s="28"/>
      <c r="I1128" s="29"/>
    </row>
    <row r="1129" spans="6:9" x14ac:dyDescent="0.3">
      <c r="F1129" s="29"/>
      <c r="G1129" s="29"/>
      <c r="H1129" s="28"/>
      <c r="I1129" s="29"/>
    </row>
    <row r="1130" spans="6:9" x14ac:dyDescent="0.3">
      <c r="F1130" s="29"/>
      <c r="G1130" s="29"/>
      <c r="H1130" s="28"/>
      <c r="I1130" s="29"/>
    </row>
    <row r="1131" spans="6:9" x14ac:dyDescent="0.3">
      <c r="F1131" s="29"/>
      <c r="G1131" s="29"/>
      <c r="H1131" s="28"/>
      <c r="I1131" s="29"/>
    </row>
    <row r="1132" spans="6:9" x14ac:dyDescent="0.3">
      <c r="F1132" s="29"/>
      <c r="G1132" s="29"/>
      <c r="H1132" s="28"/>
      <c r="I1132" s="29"/>
    </row>
    <row r="1133" spans="6:9" x14ac:dyDescent="0.3">
      <c r="F1133" s="29"/>
      <c r="G1133" s="29"/>
      <c r="H1133" s="28"/>
      <c r="I1133" s="29"/>
    </row>
    <row r="1134" spans="6:9" x14ac:dyDescent="0.3">
      <c r="F1134" s="29"/>
      <c r="G1134" s="29"/>
      <c r="H1134" s="28"/>
      <c r="I1134" s="29"/>
    </row>
    <row r="1135" spans="6:9" x14ac:dyDescent="0.3">
      <c r="F1135" s="29"/>
      <c r="G1135" s="29"/>
      <c r="H1135" s="28"/>
      <c r="I1135" s="29"/>
    </row>
    <row r="1136" spans="6:9" x14ac:dyDescent="0.3">
      <c r="F1136" s="29"/>
      <c r="G1136" s="29"/>
      <c r="H1136" s="28"/>
      <c r="I1136" s="29"/>
    </row>
    <row r="1137" spans="6:9" x14ac:dyDescent="0.3">
      <c r="F1137" s="29"/>
      <c r="G1137" s="29"/>
      <c r="H1137" s="28"/>
      <c r="I1137" s="29"/>
    </row>
    <row r="1138" spans="6:9" x14ac:dyDescent="0.3">
      <c r="F1138" s="29"/>
      <c r="G1138" s="29"/>
      <c r="H1138" s="28"/>
      <c r="I1138" s="29"/>
    </row>
    <row r="1139" spans="6:9" x14ac:dyDescent="0.3">
      <c r="F1139" s="29"/>
      <c r="G1139" s="29"/>
      <c r="H1139" s="28"/>
      <c r="I1139" s="29"/>
    </row>
    <row r="1140" spans="6:9" x14ac:dyDescent="0.3">
      <c r="F1140" s="29"/>
      <c r="G1140" s="29"/>
      <c r="H1140" s="28"/>
      <c r="I1140" s="29"/>
    </row>
    <row r="1141" spans="6:9" x14ac:dyDescent="0.3">
      <c r="F1141" s="29"/>
      <c r="G1141" s="29"/>
      <c r="H1141" s="28"/>
      <c r="I1141" s="29"/>
    </row>
    <row r="1142" spans="6:9" x14ac:dyDescent="0.3">
      <c r="F1142" s="29"/>
      <c r="G1142" s="29"/>
      <c r="H1142" s="28"/>
      <c r="I1142" s="29"/>
    </row>
    <row r="1143" spans="6:9" x14ac:dyDescent="0.3">
      <c r="F1143" s="29"/>
      <c r="G1143" s="29"/>
      <c r="H1143" s="28"/>
      <c r="I1143" s="29"/>
    </row>
    <row r="1144" spans="6:9" x14ac:dyDescent="0.3">
      <c r="F1144" s="29"/>
      <c r="G1144" s="29"/>
      <c r="H1144" s="28"/>
      <c r="I1144" s="29"/>
    </row>
    <row r="1145" spans="6:9" x14ac:dyDescent="0.3">
      <c r="F1145" s="29"/>
      <c r="G1145" s="29"/>
      <c r="H1145" s="28"/>
      <c r="I1145" s="29"/>
    </row>
    <row r="1146" spans="6:9" x14ac:dyDescent="0.3">
      <c r="F1146" s="29"/>
      <c r="G1146" s="29"/>
      <c r="H1146" s="28"/>
      <c r="I1146" s="29"/>
    </row>
    <row r="1147" spans="6:9" x14ac:dyDescent="0.3">
      <c r="F1147" s="29"/>
      <c r="G1147" s="29"/>
      <c r="H1147" s="28"/>
      <c r="I1147" s="29"/>
    </row>
    <row r="1148" spans="6:9" x14ac:dyDescent="0.3">
      <c r="F1148" s="29"/>
      <c r="G1148" s="29"/>
      <c r="H1148" s="28"/>
      <c r="I1148" s="29"/>
    </row>
    <row r="1149" spans="6:9" x14ac:dyDescent="0.3">
      <c r="F1149" s="29"/>
      <c r="G1149" s="29"/>
      <c r="H1149" s="28"/>
      <c r="I1149" s="29"/>
    </row>
    <row r="1150" spans="6:9" x14ac:dyDescent="0.3">
      <c r="F1150" s="29"/>
      <c r="G1150" s="29"/>
      <c r="H1150" s="28"/>
      <c r="I1150" s="29"/>
    </row>
    <row r="1151" spans="6:9" x14ac:dyDescent="0.3">
      <c r="F1151" s="29"/>
      <c r="G1151" s="29"/>
      <c r="H1151" s="28"/>
      <c r="I1151" s="29"/>
    </row>
    <row r="1152" spans="6:9" x14ac:dyDescent="0.3">
      <c r="F1152" s="29"/>
      <c r="G1152" s="29"/>
      <c r="H1152" s="28"/>
      <c r="I1152" s="29"/>
    </row>
    <row r="1153" spans="6:9" x14ac:dyDescent="0.3">
      <c r="F1153" s="29"/>
      <c r="G1153" s="29"/>
      <c r="H1153" s="28"/>
      <c r="I1153" s="29"/>
    </row>
    <row r="1154" spans="6:9" x14ac:dyDescent="0.3">
      <c r="F1154" s="29"/>
      <c r="G1154" s="29"/>
      <c r="H1154" s="28"/>
      <c r="I1154" s="29"/>
    </row>
    <row r="1155" spans="6:9" x14ac:dyDescent="0.3">
      <c r="F1155" s="29"/>
      <c r="G1155" s="29"/>
      <c r="H1155" s="28"/>
      <c r="I1155" s="29"/>
    </row>
    <row r="1156" spans="6:9" x14ac:dyDescent="0.3">
      <c r="F1156" s="29"/>
      <c r="G1156" s="29"/>
      <c r="H1156" s="28"/>
      <c r="I1156" s="29"/>
    </row>
    <row r="1157" spans="6:9" x14ac:dyDescent="0.3">
      <c r="F1157" s="29"/>
      <c r="G1157" s="29"/>
      <c r="H1157" s="28"/>
      <c r="I1157" s="29"/>
    </row>
    <row r="1158" spans="6:9" x14ac:dyDescent="0.3">
      <c r="F1158" s="29"/>
      <c r="G1158" s="29"/>
      <c r="H1158" s="28"/>
      <c r="I1158" s="29"/>
    </row>
    <row r="1159" spans="6:9" x14ac:dyDescent="0.3">
      <c r="F1159" s="29"/>
      <c r="G1159" s="29"/>
      <c r="H1159" s="28"/>
      <c r="I1159" s="29"/>
    </row>
    <row r="1160" spans="6:9" x14ac:dyDescent="0.3">
      <c r="F1160" s="29"/>
      <c r="G1160" s="29"/>
      <c r="H1160" s="28"/>
      <c r="I1160" s="29"/>
    </row>
    <row r="1161" spans="6:9" x14ac:dyDescent="0.3">
      <c r="F1161" s="29"/>
      <c r="G1161" s="29"/>
      <c r="H1161" s="28"/>
      <c r="I1161" s="29"/>
    </row>
    <row r="1162" spans="6:9" x14ac:dyDescent="0.3">
      <c r="F1162" s="29"/>
      <c r="G1162" s="29"/>
      <c r="H1162" s="28"/>
      <c r="I1162" s="29"/>
    </row>
    <row r="1163" spans="6:9" x14ac:dyDescent="0.3">
      <c r="F1163" s="29"/>
      <c r="G1163" s="29"/>
      <c r="H1163" s="28"/>
      <c r="I1163" s="29"/>
    </row>
    <row r="1164" spans="6:9" x14ac:dyDescent="0.3">
      <c r="F1164" s="29"/>
      <c r="G1164" s="29"/>
      <c r="H1164" s="28"/>
      <c r="I1164" s="29"/>
    </row>
    <row r="1165" spans="6:9" x14ac:dyDescent="0.3">
      <c r="F1165" s="29"/>
      <c r="G1165" s="29"/>
      <c r="H1165" s="28"/>
      <c r="I1165" s="29"/>
    </row>
    <row r="1166" spans="6:9" x14ac:dyDescent="0.3">
      <c r="F1166" s="29"/>
      <c r="G1166" s="29"/>
      <c r="H1166" s="28"/>
      <c r="I1166" s="29"/>
    </row>
    <row r="1167" spans="6:9" x14ac:dyDescent="0.3">
      <c r="F1167" s="29"/>
      <c r="G1167" s="29"/>
      <c r="H1167" s="28"/>
      <c r="I1167" s="29"/>
    </row>
    <row r="1168" spans="6:9" x14ac:dyDescent="0.3">
      <c r="F1168" s="29"/>
      <c r="G1168" s="29"/>
      <c r="H1168" s="28"/>
      <c r="I1168" s="29"/>
    </row>
    <row r="1169" spans="6:9" x14ac:dyDescent="0.3">
      <c r="F1169" s="29"/>
      <c r="G1169" s="29"/>
      <c r="H1169" s="28"/>
      <c r="I1169" s="29"/>
    </row>
    <row r="1170" spans="6:9" x14ac:dyDescent="0.3">
      <c r="F1170" s="29"/>
      <c r="G1170" s="29"/>
      <c r="H1170" s="28"/>
      <c r="I1170" s="29"/>
    </row>
    <row r="1171" spans="6:9" x14ac:dyDescent="0.3">
      <c r="F1171" s="29"/>
      <c r="G1171" s="29"/>
      <c r="H1171" s="28"/>
      <c r="I1171" s="29"/>
    </row>
    <row r="1172" spans="6:9" x14ac:dyDescent="0.3">
      <c r="F1172" s="29"/>
      <c r="G1172" s="29"/>
      <c r="H1172" s="28"/>
      <c r="I1172" s="29"/>
    </row>
    <row r="1173" spans="6:9" x14ac:dyDescent="0.3">
      <c r="F1173" s="29"/>
      <c r="G1173" s="29"/>
      <c r="H1173" s="28"/>
      <c r="I1173" s="29"/>
    </row>
    <row r="1174" spans="6:9" x14ac:dyDescent="0.3">
      <c r="F1174" s="29"/>
      <c r="G1174" s="29"/>
      <c r="H1174" s="28"/>
      <c r="I1174" s="29"/>
    </row>
    <row r="1175" spans="6:9" x14ac:dyDescent="0.3">
      <c r="F1175" s="29"/>
      <c r="G1175" s="29"/>
      <c r="H1175" s="28"/>
      <c r="I1175" s="29"/>
    </row>
    <row r="1176" spans="6:9" x14ac:dyDescent="0.3">
      <c r="F1176" s="29"/>
      <c r="G1176" s="29"/>
      <c r="H1176" s="28"/>
      <c r="I1176" s="29"/>
    </row>
    <row r="1177" spans="6:9" x14ac:dyDescent="0.3">
      <c r="F1177" s="29"/>
      <c r="G1177" s="29"/>
      <c r="H1177" s="28"/>
      <c r="I1177" s="29"/>
    </row>
    <row r="1178" spans="6:9" x14ac:dyDescent="0.3">
      <c r="F1178" s="29"/>
      <c r="G1178" s="29"/>
      <c r="H1178" s="28"/>
      <c r="I1178" s="29"/>
    </row>
    <row r="1179" spans="6:9" x14ac:dyDescent="0.3">
      <c r="F1179" s="29"/>
      <c r="G1179" s="29"/>
      <c r="H1179" s="28"/>
      <c r="I1179" s="29"/>
    </row>
    <row r="1180" spans="6:9" x14ac:dyDescent="0.3">
      <c r="F1180" s="29"/>
      <c r="G1180" s="29"/>
      <c r="H1180" s="28"/>
      <c r="I1180" s="29"/>
    </row>
    <row r="1181" spans="6:9" x14ac:dyDescent="0.3">
      <c r="F1181" s="29"/>
      <c r="G1181" s="29"/>
      <c r="H1181" s="28"/>
      <c r="I1181" s="29"/>
    </row>
    <row r="1182" spans="6:9" x14ac:dyDescent="0.3">
      <c r="F1182" s="29"/>
      <c r="G1182" s="29"/>
      <c r="H1182" s="28"/>
      <c r="I1182" s="29"/>
    </row>
    <row r="1183" spans="6:9" x14ac:dyDescent="0.3">
      <c r="F1183" s="29"/>
      <c r="G1183" s="29"/>
      <c r="H1183" s="28"/>
      <c r="I1183" s="29"/>
    </row>
    <row r="1184" spans="6:9" x14ac:dyDescent="0.3">
      <c r="F1184" s="29"/>
      <c r="G1184" s="29"/>
      <c r="H1184" s="28"/>
      <c r="I1184" s="29"/>
    </row>
    <row r="1185" spans="6:9" x14ac:dyDescent="0.3">
      <c r="F1185" s="29"/>
      <c r="G1185" s="29"/>
      <c r="H1185" s="28"/>
      <c r="I1185" s="29"/>
    </row>
    <row r="1186" spans="6:9" x14ac:dyDescent="0.3">
      <c r="F1186" s="29"/>
      <c r="G1186" s="29"/>
      <c r="H1186" s="28"/>
      <c r="I1186" s="29"/>
    </row>
    <row r="1187" spans="6:9" x14ac:dyDescent="0.3">
      <c r="F1187" s="29"/>
      <c r="G1187" s="29"/>
      <c r="H1187" s="28"/>
      <c r="I1187" s="29"/>
    </row>
    <row r="1188" spans="6:9" x14ac:dyDescent="0.3">
      <c r="F1188" s="29"/>
      <c r="G1188" s="29"/>
      <c r="H1188" s="28"/>
      <c r="I1188" s="29"/>
    </row>
    <row r="1189" spans="6:9" x14ac:dyDescent="0.3">
      <c r="F1189" s="29"/>
      <c r="G1189" s="29"/>
      <c r="H1189" s="28"/>
      <c r="I1189" s="29"/>
    </row>
    <row r="1190" spans="6:9" x14ac:dyDescent="0.3">
      <c r="F1190" s="29"/>
      <c r="G1190" s="29"/>
      <c r="H1190" s="28"/>
      <c r="I1190" s="29"/>
    </row>
    <row r="1191" spans="6:9" x14ac:dyDescent="0.3">
      <c r="F1191" s="29"/>
      <c r="G1191" s="29"/>
      <c r="H1191" s="28"/>
      <c r="I1191" s="29"/>
    </row>
    <row r="1192" spans="6:9" x14ac:dyDescent="0.3">
      <c r="F1192" s="29"/>
      <c r="G1192" s="29"/>
      <c r="H1192" s="28"/>
      <c r="I1192" s="29"/>
    </row>
    <row r="1193" spans="6:9" x14ac:dyDescent="0.3">
      <c r="F1193" s="29"/>
      <c r="G1193" s="29"/>
      <c r="H1193" s="28"/>
      <c r="I1193" s="29"/>
    </row>
    <row r="1194" spans="6:9" x14ac:dyDescent="0.3">
      <c r="F1194" s="29"/>
      <c r="G1194" s="29"/>
      <c r="H1194" s="28"/>
      <c r="I1194" s="29"/>
    </row>
    <row r="1195" spans="6:9" x14ac:dyDescent="0.3">
      <c r="F1195" s="29"/>
      <c r="G1195" s="29"/>
      <c r="H1195" s="28"/>
      <c r="I1195" s="29"/>
    </row>
    <row r="1196" spans="6:9" x14ac:dyDescent="0.3">
      <c r="F1196" s="29"/>
      <c r="G1196" s="29"/>
      <c r="H1196" s="28"/>
      <c r="I1196" s="29"/>
    </row>
    <row r="1197" spans="6:9" x14ac:dyDescent="0.3">
      <c r="F1197" s="29"/>
      <c r="G1197" s="29"/>
      <c r="H1197" s="28"/>
      <c r="I1197" s="29"/>
    </row>
    <row r="1198" spans="6:9" x14ac:dyDescent="0.3">
      <c r="F1198" s="29"/>
      <c r="G1198" s="29"/>
      <c r="H1198" s="28"/>
      <c r="I1198" s="29"/>
    </row>
    <row r="1199" spans="6:9" x14ac:dyDescent="0.3">
      <c r="F1199" s="29"/>
      <c r="G1199" s="29"/>
      <c r="H1199" s="28"/>
      <c r="I1199" s="29"/>
    </row>
    <row r="1200" spans="6:9" x14ac:dyDescent="0.3">
      <c r="F1200" s="29"/>
      <c r="G1200" s="29"/>
      <c r="H1200" s="28"/>
      <c r="I1200" s="29"/>
    </row>
    <row r="1201" spans="6:9" x14ac:dyDescent="0.3">
      <c r="F1201" s="29"/>
      <c r="G1201" s="29"/>
      <c r="H1201" s="28"/>
      <c r="I1201" s="29"/>
    </row>
    <row r="1202" spans="6:9" x14ac:dyDescent="0.3">
      <c r="F1202" s="29"/>
      <c r="G1202" s="29"/>
      <c r="H1202" s="28"/>
      <c r="I1202" s="29"/>
    </row>
    <row r="1203" spans="6:9" x14ac:dyDescent="0.3">
      <c r="F1203" s="29"/>
      <c r="G1203" s="29"/>
      <c r="H1203" s="28"/>
      <c r="I1203" s="29"/>
    </row>
    <row r="1204" spans="6:9" x14ac:dyDescent="0.3">
      <c r="F1204" s="29"/>
      <c r="G1204" s="29"/>
      <c r="H1204" s="28"/>
      <c r="I1204" s="29"/>
    </row>
    <row r="1205" spans="6:9" x14ac:dyDescent="0.3">
      <c r="F1205" s="29"/>
      <c r="G1205" s="29"/>
      <c r="H1205" s="28"/>
      <c r="I1205" s="29"/>
    </row>
    <row r="1206" spans="6:9" x14ac:dyDescent="0.3">
      <c r="F1206" s="29"/>
      <c r="G1206" s="29"/>
      <c r="H1206" s="28"/>
      <c r="I1206" s="29"/>
    </row>
    <row r="1207" spans="6:9" x14ac:dyDescent="0.3">
      <c r="F1207" s="29"/>
      <c r="G1207" s="29"/>
      <c r="H1207" s="28"/>
      <c r="I1207" s="29"/>
    </row>
    <row r="1208" spans="6:9" x14ac:dyDescent="0.3">
      <c r="F1208" s="29"/>
      <c r="G1208" s="29"/>
      <c r="H1208" s="28"/>
      <c r="I1208" s="29"/>
    </row>
    <row r="1209" spans="6:9" x14ac:dyDescent="0.3">
      <c r="F1209" s="29"/>
      <c r="G1209" s="29"/>
      <c r="H1209" s="28"/>
      <c r="I1209" s="29"/>
    </row>
    <row r="1210" spans="6:9" x14ac:dyDescent="0.3">
      <c r="F1210" s="29"/>
      <c r="G1210" s="29"/>
      <c r="H1210" s="28"/>
      <c r="I1210" s="29"/>
    </row>
    <row r="1211" spans="6:9" x14ac:dyDescent="0.3">
      <c r="F1211" s="29"/>
      <c r="G1211" s="29"/>
      <c r="H1211" s="28"/>
      <c r="I1211" s="29"/>
    </row>
    <row r="1212" spans="6:9" x14ac:dyDescent="0.3">
      <c r="F1212" s="29"/>
      <c r="G1212" s="29"/>
      <c r="H1212" s="28"/>
      <c r="I1212" s="29"/>
    </row>
    <row r="1213" spans="6:9" x14ac:dyDescent="0.3">
      <c r="F1213" s="29"/>
      <c r="G1213" s="29"/>
      <c r="H1213" s="28"/>
      <c r="I1213" s="29"/>
    </row>
    <row r="1214" spans="6:9" x14ac:dyDescent="0.3">
      <c r="F1214" s="29"/>
      <c r="G1214" s="29"/>
      <c r="H1214" s="28"/>
      <c r="I1214" s="29"/>
    </row>
    <row r="1215" spans="6:9" x14ac:dyDescent="0.3">
      <c r="F1215" s="29"/>
      <c r="G1215" s="29"/>
      <c r="H1215" s="28"/>
      <c r="I1215" s="29"/>
    </row>
    <row r="1216" spans="6:9" x14ac:dyDescent="0.3">
      <c r="F1216" s="29"/>
      <c r="G1216" s="29"/>
      <c r="H1216" s="28"/>
      <c r="I1216" s="29"/>
    </row>
    <row r="1217" spans="6:9" x14ac:dyDescent="0.3">
      <c r="F1217" s="29"/>
      <c r="G1217" s="29"/>
      <c r="H1217" s="28"/>
      <c r="I1217" s="29"/>
    </row>
    <row r="1218" spans="6:9" x14ac:dyDescent="0.3">
      <c r="F1218" s="29"/>
      <c r="G1218" s="29"/>
      <c r="H1218" s="28"/>
      <c r="I1218" s="29"/>
    </row>
    <row r="1219" spans="6:9" x14ac:dyDescent="0.3">
      <c r="F1219" s="29"/>
      <c r="G1219" s="29"/>
      <c r="H1219" s="28"/>
      <c r="I1219" s="29"/>
    </row>
    <row r="1220" spans="6:9" x14ac:dyDescent="0.3">
      <c r="F1220" s="29"/>
      <c r="G1220" s="29"/>
      <c r="H1220" s="28"/>
      <c r="I1220" s="29"/>
    </row>
    <row r="1221" spans="6:9" x14ac:dyDescent="0.3">
      <c r="F1221" s="29"/>
      <c r="G1221" s="29"/>
      <c r="H1221" s="28"/>
      <c r="I1221" s="29"/>
    </row>
    <row r="1222" spans="6:9" x14ac:dyDescent="0.3">
      <c r="F1222" s="29"/>
      <c r="G1222" s="29"/>
      <c r="H1222" s="28"/>
      <c r="I1222" s="29"/>
    </row>
    <row r="1223" spans="6:9" x14ac:dyDescent="0.3">
      <c r="F1223" s="29"/>
      <c r="G1223" s="29"/>
      <c r="H1223" s="28"/>
      <c r="I1223" s="29"/>
    </row>
    <row r="1224" spans="6:9" x14ac:dyDescent="0.3">
      <c r="F1224" s="29"/>
      <c r="G1224" s="29"/>
      <c r="H1224" s="28"/>
      <c r="I1224" s="29"/>
    </row>
    <row r="1225" spans="6:9" x14ac:dyDescent="0.3">
      <c r="F1225" s="29"/>
      <c r="G1225" s="29"/>
      <c r="H1225" s="28"/>
      <c r="I1225" s="29"/>
    </row>
    <row r="1226" spans="6:9" x14ac:dyDescent="0.3">
      <c r="F1226" s="29"/>
      <c r="G1226" s="29"/>
      <c r="H1226" s="28"/>
      <c r="I1226" s="29"/>
    </row>
    <row r="1227" spans="6:9" x14ac:dyDescent="0.3">
      <c r="F1227" s="29"/>
      <c r="G1227" s="29"/>
      <c r="H1227" s="28"/>
      <c r="I1227" s="29"/>
    </row>
    <row r="1228" spans="6:9" x14ac:dyDescent="0.3">
      <c r="F1228" s="29"/>
      <c r="G1228" s="29"/>
      <c r="H1228" s="28"/>
      <c r="I1228" s="29"/>
    </row>
    <row r="1229" spans="6:9" x14ac:dyDescent="0.3">
      <c r="F1229" s="29"/>
      <c r="G1229" s="29"/>
      <c r="H1229" s="28"/>
      <c r="I1229" s="29"/>
    </row>
    <row r="1230" spans="6:9" x14ac:dyDescent="0.3">
      <c r="F1230" s="29"/>
      <c r="G1230" s="29"/>
      <c r="H1230" s="28"/>
      <c r="I1230" s="29"/>
    </row>
    <row r="1231" spans="6:9" x14ac:dyDescent="0.3">
      <c r="F1231" s="29"/>
      <c r="G1231" s="29"/>
      <c r="H1231" s="28"/>
      <c r="I1231" s="29"/>
    </row>
    <row r="1232" spans="6:9" x14ac:dyDescent="0.3">
      <c r="F1232" s="29"/>
      <c r="G1232" s="29"/>
      <c r="H1232" s="28"/>
      <c r="I1232" s="29"/>
    </row>
    <row r="1233" spans="6:9" x14ac:dyDescent="0.3">
      <c r="F1233" s="29"/>
      <c r="G1233" s="29"/>
      <c r="H1233" s="28"/>
      <c r="I1233" s="29"/>
    </row>
    <row r="1234" spans="6:9" x14ac:dyDescent="0.3">
      <c r="F1234" s="29"/>
      <c r="G1234" s="29"/>
      <c r="H1234" s="28"/>
      <c r="I1234" s="29"/>
    </row>
    <row r="1235" spans="6:9" x14ac:dyDescent="0.3">
      <c r="F1235" s="29"/>
      <c r="G1235" s="29"/>
      <c r="H1235" s="28"/>
      <c r="I1235" s="29"/>
    </row>
    <row r="1236" spans="6:9" x14ac:dyDescent="0.3">
      <c r="F1236" s="29"/>
      <c r="G1236" s="29"/>
      <c r="H1236" s="28"/>
      <c r="I1236" s="29"/>
    </row>
    <row r="1237" spans="6:9" x14ac:dyDescent="0.3">
      <c r="F1237" s="29"/>
      <c r="G1237" s="29"/>
      <c r="H1237" s="28"/>
      <c r="I1237" s="29"/>
    </row>
    <row r="1238" spans="6:9" x14ac:dyDescent="0.3">
      <c r="F1238" s="29"/>
      <c r="G1238" s="29"/>
      <c r="H1238" s="28"/>
      <c r="I1238" s="29"/>
    </row>
    <row r="1239" spans="6:9" x14ac:dyDescent="0.3">
      <c r="F1239" s="29"/>
      <c r="G1239" s="29"/>
      <c r="H1239" s="28"/>
      <c r="I1239" s="29"/>
    </row>
    <row r="1240" spans="6:9" x14ac:dyDescent="0.3">
      <c r="F1240" s="29"/>
      <c r="G1240" s="29"/>
      <c r="H1240" s="28"/>
      <c r="I1240" s="29"/>
    </row>
    <row r="1241" spans="6:9" x14ac:dyDescent="0.3">
      <c r="F1241" s="29"/>
      <c r="G1241" s="29"/>
      <c r="H1241" s="28"/>
      <c r="I1241" s="29"/>
    </row>
    <row r="1242" spans="6:9" x14ac:dyDescent="0.3">
      <c r="F1242" s="29"/>
      <c r="G1242" s="29"/>
      <c r="H1242" s="28"/>
      <c r="I1242" s="29"/>
    </row>
    <row r="1243" spans="6:9" x14ac:dyDescent="0.3">
      <c r="F1243" s="29"/>
      <c r="G1243" s="29"/>
      <c r="H1243" s="28"/>
      <c r="I1243" s="29"/>
    </row>
    <row r="1244" spans="6:9" x14ac:dyDescent="0.3">
      <c r="F1244" s="29"/>
      <c r="G1244" s="29"/>
      <c r="H1244" s="28"/>
      <c r="I1244" s="29"/>
    </row>
    <row r="1245" spans="6:9" x14ac:dyDescent="0.3">
      <c r="F1245" s="29"/>
      <c r="G1245" s="29"/>
      <c r="H1245" s="28"/>
      <c r="I1245" s="29"/>
    </row>
    <row r="1246" spans="6:9" x14ac:dyDescent="0.3">
      <c r="F1246" s="29"/>
      <c r="G1246" s="29"/>
      <c r="H1246" s="28"/>
      <c r="I1246" s="29"/>
    </row>
    <row r="1247" spans="6:9" x14ac:dyDescent="0.3">
      <c r="F1247" s="29"/>
      <c r="G1247" s="29"/>
      <c r="H1247" s="28"/>
      <c r="I1247" s="29"/>
    </row>
    <row r="1248" spans="6:9" x14ac:dyDescent="0.3">
      <c r="F1248" s="29"/>
      <c r="G1248" s="29"/>
      <c r="H1248" s="28"/>
      <c r="I1248" s="29"/>
    </row>
    <row r="1249" spans="6:9" x14ac:dyDescent="0.3">
      <c r="F1249" s="29"/>
      <c r="G1249" s="29"/>
      <c r="H1249" s="28"/>
      <c r="I1249" s="29"/>
    </row>
    <row r="1250" spans="6:9" x14ac:dyDescent="0.3">
      <c r="F1250" s="29"/>
      <c r="G1250" s="29"/>
      <c r="H1250" s="28"/>
      <c r="I1250" s="29"/>
    </row>
    <row r="1251" spans="6:9" x14ac:dyDescent="0.3">
      <c r="F1251" s="29"/>
      <c r="G1251" s="29"/>
      <c r="H1251" s="28"/>
      <c r="I1251" s="29"/>
    </row>
    <row r="1252" spans="6:9" x14ac:dyDescent="0.3">
      <c r="F1252" s="29"/>
      <c r="G1252" s="29"/>
      <c r="H1252" s="28"/>
      <c r="I1252" s="29"/>
    </row>
    <row r="1253" spans="6:9" x14ac:dyDescent="0.3">
      <c r="F1253" s="29"/>
      <c r="G1253" s="29"/>
      <c r="H1253" s="28"/>
      <c r="I1253" s="29"/>
    </row>
    <row r="1254" spans="6:9" x14ac:dyDescent="0.3">
      <c r="F1254" s="29"/>
      <c r="G1254" s="29"/>
      <c r="H1254" s="28"/>
      <c r="I1254" s="29"/>
    </row>
    <row r="1255" spans="6:9" x14ac:dyDescent="0.3">
      <c r="F1255" s="29"/>
      <c r="G1255" s="29"/>
      <c r="H1255" s="28"/>
      <c r="I1255" s="29"/>
    </row>
    <row r="1256" spans="6:9" x14ac:dyDescent="0.3">
      <c r="F1256" s="29"/>
      <c r="G1256" s="29"/>
      <c r="H1256" s="28"/>
      <c r="I1256" s="29"/>
    </row>
    <row r="1257" spans="6:9" x14ac:dyDescent="0.3">
      <c r="F1257" s="29"/>
      <c r="G1257" s="29"/>
      <c r="H1257" s="28"/>
      <c r="I1257" s="29"/>
    </row>
    <row r="1258" spans="6:9" x14ac:dyDescent="0.3">
      <c r="F1258" s="29"/>
      <c r="G1258" s="29"/>
      <c r="H1258" s="28"/>
      <c r="I1258" s="29"/>
    </row>
    <row r="1259" spans="6:9" x14ac:dyDescent="0.3">
      <c r="F1259" s="29"/>
      <c r="G1259" s="29"/>
      <c r="H1259" s="28"/>
      <c r="I1259" s="29"/>
    </row>
    <row r="1260" spans="6:9" x14ac:dyDescent="0.3">
      <c r="F1260" s="29"/>
      <c r="G1260" s="29"/>
      <c r="H1260" s="28"/>
      <c r="I1260" s="29"/>
    </row>
    <row r="1261" spans="6:9" x14ac:dyDescent="0.3">
      <c r="F1261" s="29"/>
      <c r="G1261" s="29"/>
      <c r="H1261" s="28"/>
      <c r="I1261" s="29"/>
    </row>
    <row r="1262" spans="6:9" x14ac:dyDescent="0.3">
      <c r="F1262" s="29"/>
      <c r="G1262" s="29"/>
      <c r="H1262" s="28"/>
      <c r="I1262" s="29"/>
    </row>
    <row r="1263" spans="6:9" x14ac:dyDescent="0.3">
      <c r="F1263" s="29"/>
      <c r="G1263" s="29"/>
      <c r="H1263" s="28"/>
      <c r="I1263" s="29"/>
    </row>
    <row r="1264" spans="6:9" x14ac:dyDescent="0.3">
      <c r="F1264" s="29"/>
      <c r="G1264" s="29"/>
      <c r="H1264" s="28"/>
      <c r="I1264" s="29"/>
    </row>
    <row r="1265" spans="6:9" x14ac:dyDescent="0.3">
      <c r="F1265" s="29"/>
      <c r="G1265" s="29"/>
      <c r="H1265" s="28"/>
      <c r="I1265" s="29"/>
    </row>
    <row r="1266" spans="6:9" x14ac:dyDescent="0.3">
      <c r="F1266" s="29"/>
      <c r="G1266" s="29"/>
      <c r="H1266" s="28"/>
      <c r="I1266" s="29"/>
    </row>
    <row r="1267" spans="6:9" x14ac:dyDescent="0.3">
      <c r="F1267" s="29"/>
      <c r="G1267" s="29"/>
      <c r="H1267" s="28"/>
      <c r="I1267" s="29"/>
    </row>
    <row r="1268" spans="6:9" x14ac:dyDescent="0.3">
      <c r="F1268" s="29"/>
      <c r="G1268" s="29"/>
      <c r="H1268" s="28"/>
      <c r="I1268" s="29"/>
    </row>
    <row r="1269" spans="6:9" x14ac:dyDescent="0.3">
      <c r="F1269" s="29"/>
      <c r="G1269" s="29"/>
      <c r="H1269" s="28"/>
      <c r="I1269" s="29"/>
    </row>
    <row r="1270" spans="6:9" x14ac:dyDescent="0.3">
      <c r="F1270" s="29"/>
      <c r="G1270" s="29"/>
      <c r="H1270" s="28"/>
      <c r="I1270" s="29"/>
    </row>
    <row r="1271" spans="6:9" x14ac:dyDescent="0.3">
      <c r="F1271" s="29"/>
      <c r="G1271" s="29"/>
      <c r="H1271" s="28"/>
      <c r="I1271" s="29"/>
    </row>
    <row r="1272" spans="6:9" x14ac:dyDescent="0.3">
      <c r="F1272" s="29"/>
      <c r="G1272" s="29"/>
      <c r="H1272" s="28"/>
      <c r="I1272" s="29"/>
    </row>
    <row r="1273" spans="6:9" x14ac:dyDescent="0.3">
      <c r="F1273" s="29"/>
      <c r="G1273" s="29"/>
      <c r="H1273" s="28"/>
      <c r="I1273" s="29"/>
    </row>
    <row r="1274" spans="6:9" x14ac:dyDescent="0.3">
      <c r="F1274" s="29"/>
      <c r="G1274" s="29"/>
      <c r="H1274" s="28"/>
      <c r="I1274" s="29"/>
    </row>
    <row r="1275" spans="6:9" x14ac:dyDescent="0.3">
      <c r="F1275" s="29"/>
      <c r="G1275" s="29"/>
      <c r="H1275" s="28"/>
      <c r="I1275" s="29"/>
    </row>
    <row r="1276" spans="6:9" x14ac:dyDescent="0.3">
      <c r="F1276" s="29"/>
      <c r="G1276" s="29"/>
      <c r="H1276" s="28"/>
      <c r="I1276" s="29"/>
    </row>
    <row r="1277" spans="6:9" x14ac:dyDescent="0.3">
      <c r="F1277" s="29"/>
      <c r="G1277" s="29"/>
      <c r="H1277" s="28"/>
      <c r="I1277" s="29"/>
    </row>
    <row r="1278" spans="6:9" x14ac:dyDescent="0.3">
      <c r="F1278" s="29"/>
      <c r="G1278" s="29"/>
      <c r="H1278" s="28"/>
      <c r="I1278" s="29"/>
    </row>
    <row r="1279" spans="6:9" x14ac:dyDescent="0.3">
      <c r="F1279" s="29"/>
      <c r="G1279" s="29"/>
      <c r="H1279" s="28"/>
      <c r="I1279" s="29"/>
    </row>
    <row r="1280" spans="6:9" x14ac:dyDescent="0.3">
      <c r="F1280" s="29"/>
      <c r="G1280" s="29"/>
      <c r="H1280" s="28"/>
      <c r="I1280" s="29"/>
    </row>
    <row r="1281" spans="6:9" x14ac:dyDescent="0.3">
      <c r="F1281" s="29"/>
      <c r="G1281" s="29"/>
      <c r="H1281" s="28"/>
      <c r="I1281" s="29"/>
    </row>
    <row r="1282" spans="6:9" x14ac:dyDescent="0.3">
      <c r="F1282" s="29"/>
      <c r="G1282" s="29"/>
      <c r="H1282" s="28"/>
      <c r="I1282" s="29"/>
    </row>
    <row r="1283" spans="6:9" x14ac:dyDescent="0.3">
      <c r="F1283" s="29"/>
      <c r="G1283" s="29"/>
      <c r="H1283" s="28"/>
      <c r="I1283" s="29"/>
    </row>
    <row r="1284" spans="6:9" x14ac:dyDescent="0.3">
      <c r="F1284" s="29"/>
      <c r="G1284" s="29"/>
      <c r="H1284" s="28"/>
      <c r="I1284" s="29"/>
    </row>
    <row r="1285" spans="6:9" x14ac:dyDescent="0.3">
      <c r="F1285" s="29"/>
      <c r="G1285" s="29"/>
      <c r="H1285" s="28"/>
      <c r="I1285" s="29"/>
    </row>
    <row r="1286" spans="6:9" x14ac:dyDescent="0.3">
      <c r="F1286" s="29"/>
      <c r="G1286" s="29"/>
      <c r="H1286" s="28"/>
      <c r="I1286" s="29"/>
    </row>
    <row r="1287" spans="6:9" x14ac:dyDescent="0.3">
      <c r="F1287" s="29"/>
      <c r="G1287" s="29"/>
      <c r="H1287" s="28"/>
      <c r="I1287" s="29"/>
    </row>
    <row r="1288" spans="6:9" x14ac:dyDescent="0.3">
      <c r="F1288" s="29"/>
      <c r="G1288" s="29"/>
      <c r="H1288" s="28"/>
      <c r="I1288" s="29"/>
    </row>
    <row r="1289" spans="6:9" x14ac:dyDescent="0.3">
      <c r="F1289" s="29"/>
      <c r="G1289" s="29"/>
      <c r="H1289" s="28"/>
      <c r="I1289" s="29"/>
    </row>
    <row r="1290" spans="6:9" x14ac:dyDescent="0.3">
      <c r="F1290" s="29"/>
      <c r="G1290" s="29"/>
      <c r="H1290" s="28"/>
      <c r="I1290" s="29"/>
    </row>
    <row r="1291" spans="6:9" x14ac:dyDescent="0.3">
      <c r="F1291" s="29"/>
      <c r="G1291" s="29"/>
      <c r="H1291" s="28"/>
      <c r="I1291" s="29"/>
    </row>
    <row r="1292" spans="6:9" x14ac:dyDescent="0.3">
      <c r="F1292" s="29"/>
      <c r="G1292" s="29"/>
      <c r="H1292" s="28"/>
      <c r="I1292" s="29"/>
    </row>
    <row r="1293" spans="6:9" x14ac:dyDescent="0.3">
      <c r="F1293" s="29"/>
      <c r="G1293" s="29"/>
      <c r="H1293" s="28"/>
      <c r="I1293" s="29"/>
    </row>
    <row r="1294" spans="6:9" x14ac:dyDescent="0.3">
      <c r="F1294" s="29"/>
      <c r="G1294" s="29"/>
      <c r="H1294" s="28"/>
      <c r="I1294" s="29"/>
    </row>
    <row r="1295" spans="6:9" x14ac:dyDescent="0.3">
      <c r="F1295" s="29"/>
      <c r="G1295" s="29"/>
      <c r="H1295" s="28"/>
      <c r="I1295" s="29"/>
    </row>
    <row r="1296" spans="6:9" x14ac:dyDescent="0.3">
      <c r="F1296" s="29"/>
      <c r="G1296" s="29"/>
      <c r="H1296" s="28"/>
      <c r="I1296" s="29"/>
    </row>
    <row r="1297" spans="6:9" x14ac:dyDescent="0.3">
      <c r="F1297" s="29"/>
      <c r="G1297" s="29"/>
      <c r="H1297" s="28"/>
      <c r="I1297" s="29"/>
    </row>
    <row r="1298" spans="6:9" x14ac:dyDescent="0.3">
      <c r="F1298" s="29"/>
      <c r="G1298" s="29"/>
      <c r="H1298" s="28"/>
      <c r="I1298" s="29"/>
    </row>
    <row r="1299" spans="6:9" x14ac:dyDescent="0.3">
      <c r="F1299" s="29"/>
      <c r="G1299" s="29"/>
      <c r="H1299" s="28"/>
      <c r="I1299" s="29"/>
    </row>
    <row r="1300" spans="6:9" x14ac:dyDescent="0.3">
      <c r="F1300" s="29"/>
      <c r="G1300" s="29"/>
      <c r="H1300" s="28"/>
      <c r="I1300" s="29"/>
    </row>
    <row r="1301" spans="6:9" x14ac:dyDescent="0.3">
      <c r="F1301" s="29"/>
      <c r="G1301" s="29"/>
      <c r="H1301" s="28"/>
      <c r="I1301" s="29"/>
    </row>
    <row r="1302" spans="6:9" x14ac:dyDescent="0.3">
      <c r="F1302" s="29"/>
      <c r="G1302" s="29"/>
      <c r="H1302" s="28"/>
      <c r="I1302" s="29"/>
    </row>
    <row r="1303" spans="6:9" x14ac:dyDescent="0.3">
      <c r="F1303" s="29"/>
      <c r="G1303" s="29"/>
      <c r="H1303" s="28"/>
      <c r="I1303" s="29"/>
    </row>
    <row r="1304" spans="6:9" x14ac:dyDescent="0.3">
      <c r="F1304" s="29"/>
      <c r="G1304" s="29"/>
      <c r="H1304" s="28"/>
      <c r="I1304" s="29"/>
    </row>
    <row r="1305" spans="6:9" x14ac:dyDescent="0.3">
      <c r="F1305" s="29"/>
      <c r="G1305" s="29"/>
      <c r="H1305" s="28"/>
      <c r="I1305" s="29"/>
    </row>
    <row r="1306" spans="6:9" x14ac:dyDescent="0.3">
      <c r="F1306" s="29"/>
      <c r="G1306" s="29"/>
      <c r="H1306" s="28"/>
      <c r="I1306" s="29"/>
    </row>
    <row r="1307" spans="6:9" x14ac:dyDescent="0.3">
      <c r="F1307" s="29"/>
      <c r="G1307" s="29"/>
      <c r="H1307" s="28"/>
      <c r="I1307" s="29"/>
    </row>
    <row r="1308" spans="6:9" x14ac:dyDescent="0.3">
      <c r="F1308" s="29"/>
      <c r="G1308" s="29"/>
      <c r="H1308" s="28"/>
      <c r="I1308" s="29"/>
    </row>
    <row r="1309" spans="6:9" x14ac:dyDescent="0.3">
      <c r="F1309" s="29"/>
      <c r="G1309" s="29"/>
      <c r="H1309" s="28"/>
      <c r="I1309" s="29"/>
    </row>
    <row r="1310" spans="6:9" x14ac:dyDescent="0.3">
      <c r="F1310" s="29"/>
      <c r="G1310" s="29"/>
      <c r="H1310" s="28"/>
      <c r="I1310" s="29"/>
    </row>
    <row r="1311" spans="6:9" x14ac:dyDescent="0.3">
      <c r="F1311" s="29"/>
      <c r="G1311" s="29"/>
      <c r="H1311" s="28"/>
      <c r="I1311" s="29"/>
    </row>
    <row r="1312" spans="6:9" x14ac:dyDescent="0.3">
      <c r="F1312" s="29"/>
      <c r="G1312" s="29"/>
      <c r="H1312" s="28"/>
      <c r="I1312" s="29"/>
    </row>
    <row r="1313" spans="6:9" x14ac:dyDescent="0.3">
      <c r="F1313" s="29"/>
      <c r="G1313" s="29"/>
      <c r="H1313" s="28"/>
      <c r="I1313" s="29"/>
    </row>
    <row r="1314" spans="6:9" x14ac:dyDescent="0.3">
      <c r="F1314" s="29"/>
      <c r="G1314" s="29"/>
      <c r="H1314" s="28"/>
      <c r="I1314" s="29"/>
    </row>
    <row r="1315" spans="6:9" x14ac:dyDescent="0.3">
      <c r="F1315" s="29"/>
      <c r="G1315" s="29"/>
      <c r="H1315" s="28"/>
      <c r="I1315" s="29"/>
    </row>
    <row r="1316" spans="6:9" x14ac:dyDescent="0.3">
      <c r="F1316" s="29"/>
      <c r="G1316" s="29"/>
      <c r="H1316" s="28"/>
      <c r="I1316" s="29"/>
    </row>
    <row r="1317" spans="6:9" x14ac:dyDescent="0.3">
      <c r="F1317" s="29"/>
      <c r="G1317" s="29"/>
      <c r="H1317" s="28"/>
      <c r="I1317" s="29"/>
    </row>
    <row r="1318" spans="6:9" x14ac:dyDescent="0.3">
      <c r="F1318" s="29"/>
      <c r="G1318" s="29"/>
      <c r="H1318" s="28"/>
      <c r="I1318" s="29"/>
    </row>
    <row r="1319" spans="6:9" x14ac:dyDescent="0.3">
      <c r="F1319" s="29"/>
      <c r="G1319" s="29"/>
      <c r="H1319" s="28"/>
      <c r="I1319" s="29"/>
    </row>
    <row r="1320" spans="6:9" x14ac:dyDescent="0.3">
      <c r="F1320" s="29"/>
      <c r="G1320" s="29"/>
      <c r="H1320" s="28"/>
      <c r="I1320" s="29"/>
    </row>
    <row r="1321" spans="6:9" x14ac:dyDescent="0.3">
      <c r="F1321" s="29"/>
      <c r="G1321" s="29"/>
      <c r="H1321" s="28"/>
      <c r="I1321" s="29"/>
    </row>
    <row r="1322" spans="6:9" x14ac:dyDescent="0.3">
      <c r="F1322" s="29"/>
      <c r="G1322" s="29"/>
      <c r="H1322" s="28"/>
      <c r="I1322" s="29"/>
    </row>
    <row r="1323" spans="6:9" x14ac:dyDescent="0.3">
      <c r="F1323" s="29"/>
      <c r="G1323" s="29"/>
      <c r="H1323" s="28"/>
      <c r="I1323" s="29"/>
    </row>
    <row r="1324" spans="6:9" x14ac:dyDescent="0.3">
      <c r="F1324" s="29"/>
      <c r="G1324" s="29"/>
      <c r="H1324" s="28"/>
      <c r="I1324" s="29"/>
    </row>
    <row r="1325" spans="6:9" x14ac:dyDescent="0.3">
      <c r="F1325" s="29"/>
      <c r="G1325" s="29"/>
      <c r="H1325" s="28"/>
      <c r="I1325" s="29"/>
    </row>
    <row r="1326" spans="6:9" x14ac:dyDescent="0.3">
      <c r="F1326" s="29"/>
      <c r="G1326" s="29"/>
      <c r="H1326" s="28"/>
      <c r="I1326" s="29"/>
    </row>
    <row r="1327" spans="6:9" x14ac:dyDescent="0.3">
      <c r="F1327" s="29"/>
      <c r="G1327" s="29"/>
      <c r="H1327" s="28"/>
      <c r="I1327" s="29"/>
    </row>
    <row r="1328" spans="6:9" x14ac:dyDescent="0.3">
      <c r="F1328" s="29"/>
      <c r="G1328" s="29"/>
      <c r="H1328" s="28"/>
      <c r="I1328" s="29"/>
    </row>
    <row r="1329" spans="6:9" x14ac:dyDescent="0.3">
      <c r="F1329" s="29"/>
      <c r="G1329" s="29"/>
      <c r="H1329" s="28"/>
      <c r="I1329" s="29"/>
    </row>
    <row r="1330" spans="6:9" x14ac:dyDescent="0.3">
      <c r="F1330" s="29"/>
      <c r="G1330" s="29"/>
      <c r="H1330" s="28"/>
      <c r="I1330" s="29"/>
    </row>
    <row r="1331" spans="6:9" x14ac:dyDescent="0.3">
      <c r="F1331" s="29"/>
      <c r="G1331" s="29"/>
      <c r="H1331" s="28"/>
      <c r="I1331" s="29"/>
    </row>
    <row r="1332" spans="6:9" x14ac:dyDescent="0.3">
      <c r="F1332" s="29"/>
      <c r="G1332" s="29"/>
      <c r="H1332" s="28"/>
      <c r="I1332" s="29"/>
    </row>
    <row r="1333" spans="6:9" x14ac:dyDescent="0.3">
      <c r="F1333" s="29"/>
      <c r="G1333" s="29"/>
      <c r="H1333" s="28"/>
      <c r="I1333" s="29"/>
    </row>
    <row r="1334" spans="6:9" x14ac:dyDescent="0.3">
      <c r="F1334" s="29"/>
      <c r="G1334" s="29"/>
      <c r="H1334" s="28"/>
      <c r="I1334" s="29"/>
    </row>
    <row r="1335" spans="6:9" x14ac:dyDescent="0.3">
      <c r="F1335" s="29"/>
      <c r="G1335" s="29"/>
      <c r="H1335" s="28"/>
      <c r="I1335" s="29"/>
    </row>
    <row r="1336" spans="6:9" x14ac:dyDescent="0.3">
      <c r="F1336" s="29"/>
      <c r="G1336" s="29"/>
      <c r="H1336" s="28"/>
      <c r="I1336" s="29"/>
    </row>
    <row r="1337" spans="6:9" x14ac:dyDescent="0.3">
      <c r="F1337" s="29"/>
      <c r="G1337" s="29"/>
      <c r="H1337" s="28"/>
      <c r="I1337" s="29"/>
    </row>
    <row r="1338" spans="6:9" x14ac:dyDescent="0.3">
      <c r="F1338" s="29"/>
      <c r="G1338" s="29"/>
      <c r="H1338" s="28"/>
      <c r="I1338" s="29"/>
    </row>
    <row r="1339" spans="6:9" x14ac:dyDescent="0.3">
      <c r="F1339" s="29"/>
      <c r="G1339" s="29"/>
      <c r="H1339" s="28"/>
      <c r="I1339" s="29"/>
    </row>
    <row r="1340" spans="6:9" x14ac:dyDescent="0.3">
      <c r="F1340" s="29"/>
      <c r="G1340" s="29"/>
      <c r="H1340" s="28"/>
      <c r="I1340" s="29"/>
    </row>
    <row r="1341" spans="6:9" x14ac:dyDescent="0.3">
      <c r="F1341" s="29"/>
      <c r="G1341" s="29"/>
      <c r="H1341" s="28"/>
      <c r="I1341" s="29"/>
    </row>
    <row r="1342" spans="6:9" x14ac:dyDescent="0.3">
      <c r="F1342" s="29"/>
      <c r="G1342" s="29"/>
      <c r="H1342" s="28"/>
      <c r="I1342" s="29"/>
    </row>
    <row r="1343" spans="6:9" x14ac:dyDescent="0.3">
      <c r="F1343" s="29"/>
      <c r="G1343" s="29"/>
      <c r="H1343" s="28"/>
      <c r="I1343" s="29"/>
    </row>
    <row r="1344" spans="6:9" x14ac:dyDescent="0.3">
      <c r="F1344" s="29"/>
      <c r="G1344" s="29"/>
      <c r="H1344" s="28"/>
      <c r="I1344" s="29"/>
    </row>
    <row r="1345" spans="6:9" x14ac:dyDescent="0.3">
      <c r="F1345" s="29"/>
      <c r="G1345" s="29"/>
      <c r="H1345" s="28"/>
      <c r="I1345" s="29"/>
    </row>
    <row r="1346" spans="6:9" x14ac:dyDescent="0.3">
      <c r="F1346" s="29"/>
      <c r="G1346" s="29"/>
      <c r="H1346" s="28"/>
      <c r="I1346" s="29"/>
    </row>
    <row r="1347" spans="6:9" x14ac:dyDescent="0.3">
      <c r="F1347" s="29"/>
      <c r="G1347" s="29"/>
      <c r="H1347" s="28"/>
      <c r="I1347" s="29"/>
    </row>
    <row r="1348" spans="6:9" x14ac:dyDescent="0.3">
      <c r="F1348" s="29"/>
      <c r="G1348" s="29"/>
      <c r="H1348" s="28"/>
      <c r="I1348" s="29"/>
    </row>
    <row r="1349" spans="6:9" x14ac:dyDescent="0.3">
      <c r="F1349" s="29"/>
      <c r="G1349" s="29"/>
      <c r="H1349" s="28"/>
      <c r="I1349" s="29"/>
    </row>
    <row r="1350" spans="6:9" x14ac:dyDescent="0.3">
      <c r="F1350" s="29"/>
      <c r="G1350" s="29"/>
      <c r="H1350" s="28"/>
      <c r="I1350" s="29"/>
    </row>
    <row r="1351" spans="6:9" x14ac:dyDescent="0.3">
      <c r="F1351" s="29"/>
      <c r="G1351" s="29"/>
      <c r="H1351" s="28"/>
      <c r="I1351" s="29"/>
    </row>
    <row r="1352" spans="6:9" x14ac:dyDescent="0.3">
      <c r="F1352" s="29"/>
      <c r="G1352" s="29"/>
      <c r="H1352" s="28"/>
      <c r="I1352" s="29"/>
    </row>
    <row r="1353" spans="6:9" x14ac:dyDescent="0.3">
      <c r="F1353" s="29"/>
      <c r="G1353" s="29"/>
      <c r="H1353" s="28"/>
      <c r="I1353" s="29"/>
    </row>
    <row r="1354" spans="6:9" x14ac:dyDescent="0.3">
      <c r="F1354" s="29"/>
      <c r="G1354" s="29"/>
      <c r="H1354" s="28"/>
      <c r="I1354" s="29"/>
    </row>
    <row r="1355" spans="6:9" x14ac:dyDescent="0.3">
      <c r="F1355" s="29"/>
      <c r="G1355" s="29"/>
      <c r="H1355" s="28"/>
      <c r="I1355" s="29"/>
    </row>
    <row r="1356" spans="6:9" x14ac:dyDescent="0.3">
      <c r="F1356" s="29"/>
      <c r="G1356" s="29"/>
      <c r="H1356" s="28"/>
      <c r="I1356" s="29"/>
    </row>
    <row r="1357" spans="6:9" x14ac:dyDescent="0.3">
      <c r="F1357" s="29"/>
      <c r="G1357" s="29"/>
      <c r="H1357" s="28"/>
      <c r="I1357" s="29"/>
    </row>
    <row r="1358" spans="6:9" x14ac:dyDescent="0.3">
      <c r="F1358" s="29"/>
      <c r="G1358" s="29"/>
      <c r="H1358" s="28"/>
      <c r="I1358" s="29"/>
    </row>
    <row r="1359" spans="6:9" x14ac:dyDescent="0.3">
      <c r="F1359" s="29"/>
      <c r="G1359" s="29"/>
      <c r="H1359" s="28"/>
      <c r="I1359" s="29"/>
    </row>
    <row r="1360" spans="6:9" x14ac:dyDescent="0.3">
      <c r="F1360" s="29"/>
      <c r="G1360" s="29"/>
      <c r="H1360" s="28"/>
      <c r="I1360" s="29"/>
    </row>
    <row r="1361" spans="6:9" x14ac:dyDescent="0.3">
      <c r="F1361" s="29"/>
      <c r="G1361" s="29"/>
      <c r="H1361" s="28"/>
      <c r="I1361" s="29"/>
    </row>
    <row r="1362" spans="6:9" x14ac:dyDescent="0.3">
      <c r="F1362" s="29"/>
      <c r="G1362" s="29"/>
      <c r="H1362" s="28"/>
      <c r="I1362" s="29"/>
    </row>
    <row r="1363" spans="6:9" x14ac:dyDescent="0.3">
      <c r="F1363" s="29"/>
      <c r="G1363" s="29"/>
      <c r="H1363" s="28"/>
      <c r="I1363" s="29"/>
    </row>
    <row r="1364" spans="6:9" x14ac:dyDescent="0.3">
      <c r="F1364" s="29"/>
      <c r="G1364" s="29"/>
      <c r="H1364" s="28"/>
      <c r="I1364" s="29"/>
    </row>
    <row r="1365" spans="6:9" x14ac:dyDescent="0.3">
      <c r="F1365" s="29"/>
      <c r="G1365" s="29"/>
      <c r="H1365" s="28"/>
      <c r="I1365" s="29"/>
    </row>
    <row r="1366" spans="6:9" x14ac:dyDescent="0.3">
      <c r="F1366" s="29"/>
      <c r="G1366" s="29"/>
      <c r="H1366" s="28"/>
      <c r="I1366" s="29"/>
    </row>
    <row r="1367" spans="6:9" x14ac:dyDescent="0.3">
      <c r="F1367" s="29"/>
      <c r="G1367" s="29"/>
      <c r="H1367" s="28"/>
      <c r="I1367" s="29"/>
    </row>
    <row r="1368" spans="6:9" x14ac:dyDescent="0.3">
      <c r="F1368" s="29"/>
      <c r="G1368" s="29"/>
      <c r="H1368" s="28"/>
      <c r="I1368" s="29"/>
    </row>
    <row r="1369" spans="6:9" x14ac:dyDescent="0.3">
      <c r="F1369" s="29"/>
      <c r="G1369" s="29"/>
      <c r="H1369" s="28"/>
      <c r="I1369" s="29"/>
    </row>
    <row r="1370" spans="6:9" x14ac:dyDescent="0.3">
      <c r="F1370" s="29"/>
      <c r="G1370" s="29"/>
      <c r="H1370" s="28"/>
      <c r="I1370" s="29"/>
    </row>
    <row r="1371" spans="6:9" x14ac:dyDescent="0.3">
      <c r="F1371" s="29"/>
      <c r="G1371" s="29"/>
      <c r="H1371" s="28"/>
      <c r="I1371" s="29"/>
    </row>
    <row r="1372" spans="6:9" x14ac:dyDescent="0.3">
      <c r="F1372" s="29"/>
      <c r="G1372" s="29"/>
      <c r="H1372" s="28"/>
      <c r="I1372" s="29"/>
    </row>
    <row r="1373" spans="6:9" x14ac:dyDescent="0.3">
      <c r="F1373" s="29"/>
      <c r="G1373" s="29"/>
      <c r="H1373" s="28"/>
      <c r="I1373" s="29"/>
    </row>
    <row r="1374" spans="6:9" x14ac:dyDescent="0.3">
      <c r="F1374" s="29"/>
      <c r="G1374" s="29"/>
      <c r="H1374" s="28"/>
      <c r="I1374" s="29"/>
    </row>
    <row r="1375" spans="6:9" x14ac:dyDescent="0.3">
      <c r="F1375" s="29"/>
      <c r="G1375" s="29"/>
      <c r="H1375" s="28"/>
      <c r="I1375" s="29"/>
    </row>
    <row r="1376" spans="6:9" x14ac:dyDescent="0.3">
      <c r="F1376" s="29"/>
      <c r="G1376" s="29"/>
      <c r="H1376" s="28"/>
      <c r="I1376" s="29"/>
    </row>
    <row r="1377" spans="6:9" x14ac:dyDescent="0.3">
      <c r="F1377" s="29"/>
      <c r="G1377" s="29"/>
      <c r="H1377" s="28"/>
      <c r="I1377" s="29"/>
    </row>
    <row r="1378" spans="6:9" x14ac:dyDescent="0.3">
      <c r="F1378" s="29"/>
      <c r="G1378" s="29"/>
      <c r="H1378" s="28"/>
      <c r="I1378" s="29"/>
    </row>
    <row r="1379" spans="6:9" x14ac:dyDescent="0.3">
      <c r="F1379" s="29"/>
      <c r="G1379" s="29"/>
      <c r="H1379" s="28"/>
      <c r="I1379" s="29"/>
    </row>
    <row r="1380" spans="6:9" x14ac:dyDescent="0.3">
      <c r="F1380" s="29"/>
      <c r="G1380" s="29"/>
      <c r="H1380" s="28"/>
      <c r="I1380" s="29"/>
    </row>
    <row r="1381" spans="6:9" x14ac:dyDescent="0.3">
      <c r="F1381" s="29"/>
      <c r="G1381" s="29"/>
      <c r="H1381" s="28"/>
      <c r="I1381" s="29"/>
    </row>
    <row r="1382" spans="6:9" x14ac:dyDescent="0.3">
      <c r="F1382" s="29"/>
      <c r="G1382" s="29"/>
      <c r="H1382" s="28"/>
      <c r="I1382" s="29"/>
    </row>
    <row r="1383" spans="6:9" x14ac:dyDescent="0.3">
      <c r="F1383" s="29"/>
      <c r="G1383" s="29"/>
      <c r="H1383" s="28"/>
      <c r="I1383" s="29"/>
    </row>
    <row r="1384" spans="6:9" x14ac:dyDescent="0.3">
      <c r="F1384" s="29"/>
      <c r="G1384" s="29"/>
      <c r="H1384" s="28"/>
      <c r="I1384" s="29"/>
    </row>
    <row r="1385" spans="6:9" x14ac:dyDescent="0.3">
      <c r="F1385" s="29"/>
      <c r="G1385" s="29"/>
      <c r="H1385" s="28"/>
      <c r="I1385" s="29"/>
    </row>
    <row r="1386" spans="6:9" x14ac:dyDescent="0.3">
      <c r="F1386" s="29"/>
      <c r="G1386" s="29"/>
      <c r="H1386" s="28"/>
      <c r="I1386" s="29"/>
    </row>
    <row r="1387" spans="6:9" x14ac:dyDescent="0.3">
      <c r="F1387" s="29"/>
      <c r="G1387" s="29"/>
      <c r="H1387" s="28"/>
      <c r="I1387" s="29"/>
    </row>
    <row r="1388" spans="6:9" x14ac:dyDescent="0.3">
      <c r="F1388" s="29"/>
      <c r="G1388" s="29"/>
      <c r="H1388" s="28"/>
      <c r="I1388" s="29"/>
    </row>
    <row r="1389" spans="6:9" x14ac:dyDescent="0.3">
      <c r="F1389" s="29"/>
      <c r="G1389" s="29"/>
      <c r="H1389" s="28"/>
      <c r="I1389" s="29"/>
    </row>
    <row r="1390" spans="6:9" x14ac:dyDescent="0.3">
      <c r="F1390" s="29"/>
      <c r="G1390" s="29"/>
      <c r="H1390" s="28"/>
      <c r="I1390" s="29"/>
    </row>
    <row r="1391" spans="6:9" x14ac:dyDescent="0.3">
      <c r="F1391" s="29"/>
      <c r="G1391" s="29"/>
      <c r="H1391" s="28"/>
      <c r="I1391" s="29"/>
    </row>
    <row r="1392" spans="6:9" x14ac:dyDescent="0.3">
      <c r="F1392" s="29"/>
      <c r="G1392" s="29"/>
      <c r="H1392" s="28"/>
      <c r="I1392" s="29"/>
    </row>
    <row r="1393" spans="6:9" x14ac:dyDescent="0.3">
      <c r="F1393" s="29"/>
      <c r="G1393" s="29"/>
      <c r="H1393" s="28"/>
      <c r="I1393" s="29"/>
    </row>
    <row r="1394" spans="6:9" x14ac:dyDescent="0.3">
      <c r="F1394" s="29"/>
      <c r="G1394" s="29"/>
      <c r="H1394" s="28"/>
      <c r="I1394" s="29"/>
    </row>
    <row r="1395" spans="6:9" x14ac:dyDescent="0.3">
      <c r="F1395" s="29"/>
      <c r="G1395" s="29"/>
      <c r="H1395" s="28"/>
      <c r="I1395" s="29"/>
    </row>
    <row r="1396" spans="6:9" x14ac:dyDescent="0.3">
      <c r="F1396" s="29"/>
      <c r="G1396" s="29"/>
      <c r="H1396" s="28"/>
      <c r="I1396" s="29"/>
    </row>
    <row r="1397" spans="6:9" x14ac:dyDescent="0.3">
      <c r="F1397" s="29"/>
      <c r="G1397" s="29"/>
      <c r="H1397" s="28"/>
      <c r="I1397" s="29"/>
    </row>
    <row r="1398" spans="6:9" x14ac:dyDescent="0.3">
      <c r="F1398" s="29"/>
      <c r="G1398" s="29"/>
      <c r="H1398" s="28"/>
      <c r="I1398" s="29"/>
    </row>
    <row r="1399" spans="6:9" x14ac:dyDescent="0.3">
      <c r="F1399" s="29"/>
      <c r="G1399" s="29"/>
      <c r="H1399" s="28"/>
      <c r="I1399" s="29"/>
    </row>
    <row r="1400" spans="6:9" x14ac:dyDescent="0.3">
      <c r="F1400" s="29"/>
      <c r="G1400" s="29"/>
      <c r="H1400" s="28"/>
      <c r="I1400" s="29"/>
    </row>
    <row r="1401" spans="6:9" x14ac:dyDescent="0.3">
      <c r="F1401" s="29"/>
      <c r="G1401" s="29"/>
      <c r="H1401" s="28"/>
      <c r="I1401" s="29"/>
    </row>
    <row r="1402" spans="6:9" x14ac:dyDescent="0.3">
      <c r="F1402" s="29"/>
      <c r="G1402" s="29"/>
      <c r="H1402" s="28"/>
      <c r="I1402" s="29"/>
    </row>
    <row r="1403" spans="6:9" x14ac:dyDescent="0.3">
      <c r="F1403" s="29"/>
      <c r="G1403" s="29"/>
      <c r="H1403" s="28"/>
      <c r="I1403" s="29"/>
    </row>
    <row r="1404" spans="6:9" x14ac:dyDescent="0.3">
      <c r="F1404" s="29"/>
      <c r="G1404" s="29"/>
      <c r="H1404" s="28"/>
      <c r="I1404" s="29"/>
    </row>
    <row r="1405" spans="6:9" x14ac:dyDescent="0.3">
      <c r="F1405" s="29"/>
      <c r="G1405" s="29"/>
      <c r="H1405" s="28"/>
      <c r="I1405" s="29"/>
    </row>
    <row r="1406" spans="6:9" x14ac:dyDescent="0.3">
      <c r="F1406" s="29"/>
      <c r="G1406" s="29"/>
      <c r="H1406" s="28"/>
      <c r="I1406" s="29"/>
    </row>
    <row r="1407" spans="6:9" x14ac:dyDescent="0.3">
      <c r="F1407" s="29"/>
      <c r="G1407" s="29"/>
      <c r="H1407" s="28"/>
      <c r="I1407" s="29"/>
    </row>
    <row r="1408" spans="6:9" x14ac:dyDescent="0.3">
      <c r="F1408" s="29"/>
      <c r="G1408" s="29"/>
      <c r="H1408" s="28"/>
      <c r="I1408" s="29"/>
    </row>
    <row r="1409" spans="6:9" x14ac:dyDescent="0.3">
      <c r="F1409" s="29"/>
      <c r="G1409" s="29"/>
      <c r="H1409" s="28"/>
      <c r="I1409" s="29"/>
    </row>
    <row r="1410" spans="6:9" x14ac:dyDescent="0.3">
      <c r="F1410" s="29"/>
      <c r="G1410" s="29"/>
      <c r="H1410" s="28"/>
      <c r="I1410" s="29"/>
    </row>
    <row r="1411" spans="6:9" x14ac:dyDescent="0.3">
      <c r="F1411" s="29"/>
      <c r="G1411" s="29"/>
      <c r="H1411" s="28"/>
      <c r="I1411" s="29"/>
    </row>
    <row r="1412" spans="6:9" x14ac:dyDescent="0.3">
      <c r="F1412" s="29"/>
      <c r="G1412" s="29"/>
      <c r="H1412" s="28"/>
      <c r="I1412" s="29"/>
    </row>
    <row r="1413" spans="6:9" x14ac:dyDescent="0.3">
      <c r="F1413" s="29"/>
      <c r="G1413" s="29"/>
      <c r="H1413" s="28"/>
      <c r="I1413" s="29"/>
    </row>
    <row r="1414" spans="6:9" x14ac:dyDescent="0.3">
      <c r="F1414" s="29"/>
      <c r="G1414" s="29"/>
      <c r="H1414" s="28"/>
      <c r="I1414" s="29"/>
    </row>
    <row r="1415" spans="6:9" x14ac:dyDescent="0.3">
      <c r="F1415" s="29"/>
      <c r="G1415" s="29"/>
      <c r="H1415" s="28"/>
      <c r="I1415" s="29"/>
    </row>
    <row r="1416" spans="6:9" x14ac:dyDescent="0.3">
      <c r="F1416" s="29"/>
      <c r="G1416" s="29"/>
      <c r="H1416" s="28"/>
      <c r="I1416" s="29"/>
    </row>
    <row r="1417" spans="6:9" x14ac:dyDescent="0.3">
      <c r="F1417" s="29"/>
      <c r="G1417" s="29"/>
      <c r="H1417" s="28"/>
      <c r="I1417" s="29"/>
    </row>
    <row r="1418" spans="6:9" x14ac:dyDescent="0.3">
      <c r="F1418" s="29"/>
      <c r="G1418" s="29"/>
      <c r="H1418" s="28"/>
      <c r="I1418" s="29"/>
    </row>
    <row r="1419" spans="6:9" x14ac:dyDescent="0.3">
      <c r="F1419" s="29"/>
      <c r="G1419" s="29"/>
      <c r="H1419" s="28"/>
      <c r="I1419" s="29"/>
    </row>
    <row r="1420" spans="6:9" x14ac:dyDescent="0.3">
      <c r="F1420" s="29"/>
      <c r="G1420" s="29"/>
      <c r="H1420" s="28"/>
      <c r="I1420" s="29"/>
    </row>
    <row r="1421" spans="6:9" x14ac:dyDescent="0.3">
      <c r="F1421" s="29"/>
      <c r="G1421" s="29"/>
      <c r="H1421" s="28"/>
      <c r="I1421" s="29"/>
    </row>
    <row r="1422" spans="6:9" x14ac:dyDescent="0.3">
      <c r="F1422" s="29"/>
      <c r="G1422" s="29"/>
      <c r="H1422" s="28"/>
      <c r="I1422" s="29"/>
    </row>
    <row r="1423" spans="6:9" x14ac:dyDescent="0.3">
      <c r="F1423" s="29"/>
      <c r="G1423" s="29"/>
      <c r="H1423" s="28"/>
      <c r="I1423" s="29"/>
    </row>
    <row r="1424" spans="6:9" x14ac:dyDescent="0.3">
      <c r="F1424" s="29"/>
      <c r="G1424" s="29"/>
      <c r="H1424" s="28"/>
      <c r="I1424" s="29"/>
    </row>
    <row r="1425" spans="6:9" x14ac:dyDescent="0.3">
      <c r="F1425" s="29"/>
      <c r="G1425" s="29"/>
      <c r="H1425" s="28"/>
      <c r="I1425" s="29"/>
    </row>
    <row r="1426" spans="6:9" x14ac:dyDescent="0.3">
      <c r="F1426" s="29"/>
      <c r="G1426" s="29"/>
      <c r="H1426" s="28"/>
      <c r="I1426" s="29"/>
    </row>
    <row r="1427" spans="6:9" x14ac:dyDescent="0.3">
      <c r="F1427" s="29"/>
      <c r="G1427" s="29"/>
      <c r="H1427" s="28"/>
      <c r="I1427" s="29"/>
    </row>
    <row r="1428" spans="6:9" x14ac:dyDescent="0.3">
      <c r="F1428" s="29"/>
      <c r="G1428" s="29"/>
      <c r="H1428" s="28"/>
      <c r="I1428" s="29"/>
    </row>
    <row r="1429" spans="6:9" x14ac:dyDescent="0.3">
      <c r="F1429" s="29"/>
      <c r="G1429" s="29"/>
      <c r="H1429" s="28"/>
      <c r="I1429" s="29"/>
    </row>
    <row r="1430" spans="6:9" x14ac:dyDescent="0.3">
      <c r="F1430" s="29"/>
      <c r="G1430" s="29"/>
      <c r="H1430" s="28"/>
      <c r="I1430" s="29"/>
    </row>
    <row r="1431" spans="6:9" x14ac:dyDescent="0.3">
      <c r="F1431" s="29"/>
      <c r="G1431" s="29"/>
      <c r="H1431" s="28"/>
      <c r="I1431" s="29"/>
    </row>
    <row r="1432" spans="6:9" x14ac:dyDescent="0.3">
      <c r="F1432" s="29"/>
      <c r="G1432" s="29"/>
      <c r="H1432" s="28"/>
      <c r="I1432" s="29"/>
    </row>
    <row r="1433" spans="6:9" x14ac:dyDescent="0.3">
      <c r="F1433" s="29"/>
      <c r="G1433" s="29"/>
      <c r="H1433" s="28"/>
      <c r="I1433" s="29"/>
    </row>
    <row r="1434" spans="6:9" x14ac:dyDescent="0.3">
      <c r="F1434" s="29"/>
      <c r="G1434" s="29"/>
      <c r="H1434" s="28"/>
      <c r="I1434" s="29"/>
    </row>
    <row r="1435" spans="6:9" x14ac:dyDescent="0.3">
      <c r="F1435" s="29"/>
      <c r="G1435" s="29"/>
      <c r="H1435" s="28"/>
      <c r="I1435" s="29"/>
    </row>
    <row r="1436" spans="6:9" x14ac:dyDescent="0.3">
      <c r="F1436" s="29"/>
      <c r="G1436" s="29"/>
      <c r="H1436" s="28"/>
      <c r="I1436" s="29"/>
    </row>
    <row r="1437" spans="6:9" x14ac:dyDescent="0.3">
      <c r="F1437" s="29"/>
      <c r="G1437" s="29"/>
      <c r="H1437" s="28"/>
      <c r="I1437" s="29"/>
    </row>
    <row r="1438" spans="6:9" x14ac:dyDescent="0.3">
      <c r="F1438" s="29"/>
      <c r="G1438" s="29"/>
      <c r="H1438" s="28"/>
      <c r="I1438" s="29"/>
    </row>
    <row r="1439" spans="6:9" x14ac:dyDescent="0.3">
      <c r="F1439" s="29"/>
      <c r="G1439" s="29"/>
      <c r="H1439" s="28"/>
      <c r="I1439" s="29"/>
    </row>
    <row r="1440" spans="6:9" x14ac:dyDescent="0.3">
      <c r="F1440" s="29"/>
      <c r="G1440" s="29"/>
      <c r="H1440" s="28"/>
      <c r="I1440" s="29"/>
    </row>
    <row r="1441" spans="6:9" x14ac:dyDescent="0.3">
      <c r="F1441" s="29"/>
      <c r="G1441" s="29"/>
      <c r="H1441" s="28"/>
      <c r="I1441" s="29"/>
    </row>
    <row r="1442" spans="6:9" x14ac:dyDescent="0.3">
      <c r="F1442" s="29"/>
      <c r="G1442" s="29"/>
      <c r="H1442" s="28"/>
      <c r="I1442" s="29"/>
    </row>
    <row r="1443" spans="6:9" x14ac:dyDescent="0.3">
      <c r="F1443" s="29"/>
      <c r="G1443" s="29"/>
      <c r="H1443" s="28"/>
      <c r="I1443" s="29"/>
    </row>
    <row r="1444" spans="6:9" x14ac:dyDescent="0.3">
      <c r="F1444" s="29"/>
      <c r="G1444" s="29"/>
      <c r="H1444" s="28"/>
      <c r="I1444" s="29"/>
    </row>
    <row r="1445" spans="6:9" x14ac:dyDescent="0.3">
      <c r="F1445" s="29"/>
      <c r="G1445" s="29"/>
      <c r="H1445" s="28"/>
      <c r="I1445" s="29"/>
    </row>
    <row r="1446" spans="6:9" x14ac:dyDescent="0.3">
      <c r="F1446" s="29"/>
      <c r="G1446" s="29"/>
      <c r="H1446" s="28"/>
      <c r="I1446" s="29"/>
    </row>
    <row r="1447" spans="6:9" x14ac:dyDescent="0.3">
      <c r="F1447" s="29"/>
      <c r="G1447" s="29"/>
      <c r="H1447" s="28"/>
      <c r="I1447" s="29"/>
    </row>
    <row r="1448" spans="6:9" x14ac:dyDescent="0.3">
      <c r="F1448" s="29"/>
      <c r="G1448" s="29"/>
      <c r="H1448" s="28"/>
      <c r="I1448" s="29"/>
    </row>
    <row r="1449" spans="6:9" x14ac:dyDescent="0.3">
      <c r="F1449" s="29"/>
      <c r="G1449" s="29"/>
      <c r="H1449" s="28"/>
      <c r="I1449" s="29"/>
    </row>
    <row r="1450" spans="6:9" x14ac:dyDescent="0.3">
      <c r="F1450" s="29"/>
      <c r="G1450" s="29"/>
      <c r="H1450" s="28"/>
      <c r="I1450" s="29"/>
    </row>
    <row r="1451" spans="6:9" x14ac:dyDescent="0.3">
      <c r="F1451" s="29"/>
      <c r="G1451" s="29"/>
      <c r="H1451" s="28"/>
      <c r="I1451" s="29"/>
    </row>
    <row r="1452" spans="6:9" x14ac:dyDescent="0.3">
      <c r="F1452" s="29"/>
      <c r="G1452" s="29"/>
      <c r="H1452" s="28"/>
      <c r="I1452" s="29"/>
    </row>
    <row r="1453" spans="6:9" x14ac:dyDescent="0.3">
      <c r="F1453" s="29"/>
      <c r="G1453" s="29"/>
      <c r="H1453" s="28"/>
      <c r="I1453" s="29"/>
    </row>
    <row r="1454" spans="6:9" x14ac:dyDescent="0.3">
      <c r="F1454" s="29"/>
      <c r="G1454" s="29"/>
      <c r="H1454" s="28"/>
      <c r="I1454" s="29"/>
    </row>
    <row r="1455" spans="6:9" x14ac:dyDescent="0.3">
      <c r="F1455" s="29"/>
      <c r="G1455" s="29"/>
      <c r="H1455" s="28"/>
      <c r="I1455" s="29"/>
    </row>
    <row r="1456" spans="6:9" x14ac:dyDescent="0.3">
      <c r="F1456" s="29"/>
      <c r="G1456" s="29"/>
      <c r="H1456" s="28"/>
      <c r="I1456" s="29"/>
    </row>
    <row r="1457" spans="6:9" x14ac:dyDescent="0.3">
      <c r="F1457" s="29"/>
      <c r="G1457" s="29"/>
      <c r="H1457" s="28"/>
      <c r="I1457" s="29"/>
    </row>
    <row r="1458" spans="6:9" x14ac:dyDescent="0.3">
      <c r="F1458" s="29"/>
      <c r="G1458" s="29"/>
      <c r="H1458" s="28"/>
      <c r="I1458" s="29"/>
    </row>
    <row r="1459" spans="6:9" x14ac:dyDescent="0.3">
      <c r="F1459" s="29"/>
      <c r="G1459" s="29"/>
      <c r="H1459" s="28"/>
      <c r="I1459" s="29"/>
    </row>
    <row r="1460" spans="6:9" x14ac:dyDescent="0.3">
      <c r="F1460" s="29"/>
      <c r="G1460" s="29"/>
      <c r="H1460" s="28"/>
      <c r="I1460" s="29"/>
    </row>
    <row r="1461" spans="6:9" x14ac:dyDescent="0.3">
      <c r="F1461" s="29"/>
      <c r="G1461" s="29"/>
      <c r="H1461" s="28"/>
      <c r="I1461" s="29"/>
    </row>
    <row r="1462" spans="6:9" x14ac:dyDescent="0.3">
      <c r="F1462" s="29"/>
      <c r="G1462" s="29"/>
      <c r="H1462" s="28"/>
      <c r="I1462" s="29"/>
    </row>
    <row r="1463" spans="6:9" x14ac:dyDescent="0.3">
      <c r="F1463" s="29"/>
      <c r="G1463" s="29"/>
      <c r="H1463" s="28"/>
      <c r="I1463" s="29"/>
    </row>
    <row r="1464" spans="6:9" x14ac:dyDescent="0.3">
      <c r="F1464" s="29"/>
      <c r="G1464" s="29"/>
      <c r="H1464" s="28"/>
      <c r="I1464" s="29"/>
    </row>
    <row r="1465" spans="6:9" x14ac:dyDescent="0.3">
      <c r="F1465" s="29"/>
      <c r="G1465" s="29"/>
      <c r="H1465" s="28"/>
      <c r="I1465" s="29"/>
    </row>
    <row r="1466" spans="6:9" x14ac:dyDescent="0.3">
      <c r="F1466" s="29"/>
      <c r="G1466" s="29"/>
      <c r="H1466" s="28"/>
      <c r="I1466" s="29"/>
    </row>
    <row r="1467" spans="6:9" x14ac:dyDescent="0.3">
      <c r="F1467" s="29"/>
      <c r="G1467" s="29"/>
      <c r="H1467" s="28"/>
      <c r="I1467" s="29"/>
    </row>
    <row r="1468" spans="6:9" x14ac:dyDescent="0.3">
      <c r="F1468" s="29"/>
      <c r="G1468" s="29"/>
      <c r="H1468" s="28"/>
      <c r="I1468" s="29"/>
    </row>
    <row r="1469" spans="6:9" x14ac:dyDescent="0.3">
      <c r="F1469" s="29"/>
      <c r="G1469" s="29"/>
      <c r="H1469" s="28"/>
      <c r="I1469" s="29"/>
    </row>
    <row r="1470" spans="6:9" x14ac:dyDescent="0.3">
      <c r="F1470" s="29"/>
      <c r="G1470" s="29"/>
      <c r="H1470" s="28"/>
      <c r="I1470" s="29"/>
    </row>
    <row r="1471" spans="6:9" x14ac:dyDescent="0.3">
      <c r="F1471" s="29"/>
      <c r="G1471" s="29"/>
      <c r="H1471" s="28"/>
      <c r="I1471" s="29"/>
    </row>
    <row r="1472" spans="6:9" x14ac:dyDescent="0.3">
      <c r="F1472" s="29"/>
      <c r="G1472" s="29"/>
      <c r="H1472" s="28"/>
      <c r="I1472" s="29"/>
    </row>
    <row r="1473" spans="6:9" x14ac:dyDescent="0.3">
      <c r="F1473" s="29"/>
      <c r="G1473" s="29"/>
      <c r="H1473" s="28"/>
      <c r="I1473" s="29"/>
    </row>
    <row r="1474" spans="6:9" x14ac:dyDescent="0.3">
      <c r="F1474" s="29"/>
      <c r="G1474" s="29"/>
      <c r="H1474" s="28"/>
      <c r="I1474" s="29"/>
    </row>
    <row r="1475" spans="6:9" x14ac:dyDescent="0.3">
      <c r="F1475" s="29"/>
      <c r="G1475" s="29"/>
      <c r="H1475" s="28"/>
      <c r="I1475" s="29"/>
    </row>
    <row r="1476" spans="6:9" x14ac:dyDescent="0.3">
      <c r="F1476" s="29"/>
      <c r="G1476" s="29"/>
      <c r="H1476" s="28"/>
      <c r="I1476" s="29"/>
    </row>
    <row r="1477" spans="6:9" x14ac:dyDescent="0.3">
      <c r="F1477" s="29"/>
      <c r="G1477" s="29"/>
      <c r="H1477" s="28"/>
      <c r="I1477" s="29"/>
    </row>
    <row r="1478" spans="6:9" x14ac:dyDescent="0.3">
      <c r="F1478" s="29"/>
      <c r="G1478" s="29"/>
      <c r="H1478" s="28"/>
      <c r="I1478" s="29"/>
    </row>
    <row r="1479" spans="6:9" x14ac:dyDescent="0.3">
      <c r="F1479" s="29"/>
      <c r="G1479" s="29"/>
      <c r="H1479" s="28"/>
      <c r="I1479" s="29"/>
    </row>
    <row r="1480" spans="6:9" x14ac:dyDescent="0.3">
      <c r="F1480" s="29"/>
      <c r="G1480" s="29"/>
      <c r="H1480" s="28"/>
      <c r="I1480" s="29"/>
    </row>
    <row r="1481" spans="6:9" x14ac:dyDescent="0.3">
      <c r="F1481" s="29"/>
      <c r="G1481" s="29"/>
      <c r="H1481" s="28"/>
      <c r="I1481" s="29"/>
    </row>
    <row r="1482" spans="6:9" x14ac:dyDescent="0.3">
      <c r="F1482" s="29"/>
      <c r="G1482" s="29"/>
      <c r="H1482" s="28"/>
      <c r="I1482" s="29"/>
    </row>
    <row r="1483" spans="6:9" x14ac:dyDescent="0.3">
      <c r="F1483" s="29"/>
      <c r="G1483" s="29"/>
      <c r="H1483" s="28"/>
      <c r="I1483" s="29"/>
    </row>
    <row r="1484" spans="6:9" x14ac:dyDescent="0.3">
      <c r="F1484" s="29"/>
      <c r="G1484" s="29"/>
      <c r="H1484" s="28"/>
      <c r="I1484" s="29"/>
    </row>
    <row r="1485" spans="6:9" x14ac:dyDescent="0.3">
      <c r="F1485" s="29"/>
      <c r="G1485" s="29"/>
      <c r="H1485" s="28"/>
      <c r="I1485" s="29"/>
    </row>
    <row r="1486" spans="6:9" x14ac:dyDescent="0.3">
      <c r="F1486" s="29"/>
      <c r="G1486" s="29"/>
      <c r="H1486" s="28"/>
      <c r="I1486" s="29"/>
    </row>
    <row r="1487" spans="6:9" x14ac:dyDescent="0.3">
      <c r="F1487" s="29"/>
      <c r="G1487" s="29"/>
      <c r="H1487" s="28"/>
      <c r="I1487" s="29"/>
    </row>
    <row r="1488" spans="6:9" x14ac:dyDescent="0.3">
      <c r="F1488" s="29"/>
      <c r="G1488" s="29"/>
      <c r="H1488" s="28"/>
      <c r="I1488" s="29"/>
    </row>
    <row r="1489" spans="6:9" x14ac:dyDescent="0.3">
      <c r="F1489" s="29"/>
      <c r="G1489" s="29"/>
      <c r="H1489" s="28"/>
      <c r="I1489" s="29"/>
    </row>
    <row r="1490" spans="6:9" x14ac:dyDescent="0.3">
      <c r="F1490" s="29"/>
      <c r="G1490" s="29"/>
      <c r="H1490" s="28"/>
      <c r="I1490" s="29"/>
    </row>
    <row r="1491" spans="6:9" x14ac:dyDescent="0.3">
      <c r="F1491" s="29"/>
      <c r="G1491" s="29"/>
      <c r="H1491" s="28"/>
      <c r="I1491" s="29"/>
    </row>
    <row r="1492" spans="6:9" x14ac:dyDescent="0.3">
      <c r="F1492" s="29"/>
      <c r="G1492" s="29"/>
      <c r="H1492" s="28"/>
      <c r="I1492" s="29"/>
    </row>
    <row r="1493" spans="6:9" x14ac:dyDescent="0.3">
      <c r="F1493" s="29"/>
      <c r="G1493" s="29"/>
      <c r="H1493" s="28"/>
      <c r="I1493" s="29"/>
    </row>
    <row r="1494" spans="6:9" x14ac:dyDescent="0.3">
      <c r="F1494" s="29"/>
      <c r="G1494" s="29"/>
      <c r="H1494" s="28"/>
      <c r="I1494" s="29"/>
    </row>
    <row r="1495" spans="6:9" x14ac:dyDescent="0.3">
      <c r="F1495" s="29"/>
      <c r="G1495" s="29"/>
      <c r="H1495" s="28"/>
      <c r="I1495" s="29"/>
    </row>
    <row r="1496" spans="6:9" x14ac:dyDescent="0.3">
      <c r="F1496" s="29"/>
      <c r="G1496" s="29"/>
      <c r="H1496" s="28"/>
      <c r="I1496" s="29"/>
    </row>
    <row r="1497" spans="6:9" x14ac:dyDescent="0.3">
      <c r="F1497" s="29"/>
      <c r="G1497" s="29"/>
      <c r="H1497" s="28"/>
      <c r="I1497" s="29"/>
    </row>
    <row r="1498" spans="6:9" x14ac:dyDescent="0.3">
      <c r="F1498" s="29"/>
      <c r="G1498" s="29"/>
      <c r="H1498" s="28"/>
      <c r="I1498" s="29"/>
    </row>
    <row r="1499" spans="6:9" x14ac:dyDescent="0.3">
      <c r="F1499" s="29"/>
      <c r="G1499" s="29"/>
      <c r="H1499" s="28"/>
      <c r="I1499" s="29"/>
    </row>
    <row r="1500" spans="6:9" x14ac:dyDescent="0.3">
      <c r="F1500" s="29"/>
      <c r="G1500" s="29"/>
      <c r="H1500" s="28"/>
      <c r="I1500" s="29"/>
    </row>
    <row r="1501" spans="6:9" x14ac:dyDescent="0.3">
      <c r="F1501" s="29"/>
      <c r="G1501" s="29"/>
      <c r="H1501" s="28"/>
      <c r="I1501" s="29"/>
    </row>
    <row r="1502" spans="6:9" x14ac:dyDescent="0.3">
      <c r="F1502" s="29"/>
      <c r="G1502" s="29"/>
      <c r="H1502" s="28"/>
      <c r="I1502" s="29"/>
    </row>
    <row r="1503" spans="6:9" x14ac:dyDescent="0.3">
      <c r="F1503" s="29"/>
      <c r="G1503" s="29"/>
      <c r="H1503" s="28"/>
      <c r="I1503" s="29"/>
    </row>
    <row r="1504" spans="6:9" x14ac:dyDescent="0.3">
      <c r="F1504" s="29"/>
      <c r="G1504" s="29"/>
      <c r="H1504" s="28"/>
      <c r="I1504" s="29"/>
    </row>
    <row r="1505" spans="6:9" x14ac:dyDescent="0.3">
      <c r="F1505" s="29"/>
      <c r="G1505" s="29"/>
      <c r="H1505" s="28"/>
      <c r="I1505" s="29"/>
    </row>
    <row r="1506" spans="6:9" x14ac:dyDescent="0.3">
      <c r="F1506" s="29"/>
      <c r="G1506" s="29"/>
      <c r="H1506" s="28"/>
      <c r="I1506" s="29"/>
    </row>
    <row r="1507" spans="6:9" x14ac:dyDescent="0.3">
      <c r="F1507" s="29"/>
      <c r="G1507" s="29"/>
      <c r="H1507" s="28"/>
      <c r="I1507" s="29"/>
    </row>
    <row r="1508" spans="6:9" x14ac:dyDescent="0.3">
      <c r="F1508" s="29"/>
      <c r="G1508" s="29"/>
      <c r="H1508" s="28"/>
      <c r="I1508" s="29"/>
    </row>
    <row r="1509" spans="6:9" x14ac:dyDescent="0.3">
      <c r="F1509" s="29"/>
      <c r="G1509" s="29"/>
      <c r="H1509" s="28"/>
      <c r="I1509" s="29"/>
    </row>
    <row r="1510" spans="6:9" x14ac:dyDescent="0.3">
      <c r="F1510" s="29"/>
      <c r="G1510" s="29"/>
      <c r="H1510" s="28"/>
      <c r="I1510" s="29"/>
    </row>
    <row r="1511" spans="6:9" x14ac:dyDescent="0.3">
      <c r="F1511" s="29"/>
      <c r="G1511" s="29"/>
      <c r="H1511" s="28"/>
      <c r="I1511" s="29"/>
    </row>
    <row r="1512" spans="6:9" x14ac:dyDescent="0.3">
      <c r="F1512" s="29"/>
      <c r="G1512" s="29"/>
      <c r="H1512" s="28"/>
      <c r="I1512" s="29"/>
    </row>
    <row r="1513" spans="6:9" x14ac:dyDescent="0.3">
      <c r="F1513" s="29"/>
      <c r="G1513" s="29"/>
      <c r="H1513" s="28"/>
      <c r="I1513" s="29"/>
    </row>
    <row r="1514" spans="6:9" x14ac:dyDescent="0.3">
      <c r="F1514" s="29"/>
      <c r="G1514" s="29"/>
      <c r="H1514" s="28"/>
      <c r="I1514" s="29"/>
    </row>
    <row r="1515" spans="6:9" x14ac:dyDescent="0.3">
      <c r="F1515" s="29"/>
      <c r="G1515" s="29"/>
      <c r="H1515" s="28"/>
      <c r="I1515" s="29"/>
    </row>
    <row r="1516" spans="6:9" x14ac:dyDescent="0.3">
      <c r="F1516" s="29"/>
      <c r="G1516" s="29"/>
      <c r="H1516" s="28"/>
      <c r="I1516" s="29"/>
    </row>
    <row r="1517" spans="6:9" x14ac:dyDescent="0.3">
      <c r="F1517" s="29"/>
      <c r="G1517" s="29"/>
      <c r="H1517" s="28"/>
      <c r="I1517" s="29"/>
    </row>
    <row r="1518" spans="6:9" x14ac:dyDescent="0.3">
      <c r="F1518" s="29"/>
      <c r="G1518" s="29"/>
      <c r="H1518" s="28"/>
      <c r="I1518" s="29"/>
    </row>
    <row r="1519" spans="6:9" x14ac:dyDescent="0.3">
      <c r="F1519" s="29"/>
      <c r="G1519" s="29"/>
      <c r="H1519" s="28"/>
      <c r="I1519" s="29"/>
    </row>
    <row r="1520" spans="6:9" x14ac:dyDescent="0.3">
      <c r="F1520" s="29"/>
      <c r="G1520" s="29"/>
      <c r="H1520" s="28"/>
      <c r="I1520" s="29"/>
    </row>
    <row r="1521" spans="6:9" x14ac:dyDescent="0.3">
      <c r="F1521" s="29"/>
      <c r="G1521" s="29"/>
      <c r="H1521" s="28"/>
      <c r="I1521" s="29"/>
    </row>
    <row r="1522" spans="6:9" x14ac:dyDescent="0.3">
      <c r="F1522" s="29"/>
      <c r="G1522" s="29"/>
      <c r="H1522" s="28"/>
      <c r="I1522" s="29"/>
    </row>
    <row r="1523" spans="6:9" x14ac:dyDescent="0.3">
      <c r="F1523" s="29"/>
      <c r="G1523" s="29"/>
      <c r="H1523" s="28"/>
      <c r="I1523" s="29"/>
    </row>
    <row r="1524" spans="6:9" x14ac:dyDescent="0.3">
      <c r="F1524" s="29"/>
      <c r="G1524" s="29"/>
      <c r="H1524" s="28"/>
      <c r="I1524" s="29"/>
    </row>
    <row r="1525" spans="6:9" x14ac:dyDescent="0.3">
      <c r="F1525" s="29"/>
      <c r="G1525" s="29"/>
      <c r="H1525" s="28"/>
      <c r="I1525" s="29"/>
    </row>
    <row r="1526" spans="6:9" x14ac:dyDescent="0.3">
      <c r="F1526" s="29"/>
      <c r="G1526" s="29"/>
      <c r="H1526" s="28"/>
      <c r="I1526" s="29"/>
    </row>
    <row r="1527" spans="6:9" x14ac:dyDescent="0.3">
      <c r="F1527" s="29"/>
      <c r="G1527" s="29"/>
      <c r="H1527" s="28"/>
      <c r="I1527" s="29"/>
    </row>
    <row r="1528" spans="6:9" x14ac:dyDescent="0.3">
      <c r="F1528" s="29"/>
      <c r="G1528" s="29"/>
      <c r="H1528" s="28"/>
      <c r="I1528" s="29"/>
    </row>
    <row r="1529" spans="6:9" x14ac:dyDescent="0.3">
      <c r="F1529" s="29"/>
      <c r="G1529" s="29"/>
      <c r="H1529" s="28"/>
      <c r="I1529" s="29"/>
    </row>
    <row r="1530" spans="6:9" x14ac:dyDescent="0.3">
      <c r="F1530" s="29"/>
      <c r="G1530" s="29"/>
      <c r="H1530" s="28"/>
      <c r="I1530" s="29"/>
    </row>
    <row r="1531" spans="6:9" x14ac:dyDescent="0.3">
      <c r="F1531" s="29"/>
      <c r="G1531" s="29"/>
      <c r="H1531" s="28"/>
      <c r="I1531" s="29"/>
    </row>
    <row r="1532" spans="6:9" x14ac:dyDescent="0.3">
      <c r="F1532" s="29"/>
      <c r="G1532" s="29"/>
      <c r="H1532" s="28"/>
      <c r="I1532" s="29"/>
    </row>
    <row r="1533" spans="6:9" x14ac:dyDescent="0.3">
      <c r="F1533" s="29"/>
      <c r="G1533" s="29"/>
      <c r="H1533" s="28"/>
      <c r="I1533" s="29"/>
    </row>
    <row r="1534" spans="6:9" x14ac:dyDescent="0.3">
      <c r="F1534" s="29"/>
      <c r="G1534" s="29"/>
      <c r="H1534" s="28"/>
      <c r="I1534" s="29"/>
    </row>
    <row r="1535" spans="6:9" x14ac:dyDescent="0.3">
      <c r="F1535" s="29"/>
      <c r="G1535" s="29"/>
      <c r="H1535" s="28"/>
      <c r="I1535" s="29"/>
    </row>
    <row r="1536" spans="6:9" x14ac:dyDescent="0.3">
      <c r="F1536" s="29"/>
      <c r="G1536" s="29"/>
      <c r="H1536" s="28"/>
      <c r="I1536" s="29"/>
    </row>
    <row r="1537" spans="6:9" x14ac:dyDescent="0.3">
      <c r="F1537" s="29"/>
      <c r="G1537" s="29"/>
      <c r="H1537" s="28"/>
      <c r="I1537" s="29"/>
    </row>
    <row r="1538" spans="6:9" x14ac:dyDescent="0.3">
      <c r="F1538" s="29"/>
      <c r="G1538" s="29"/>
      <c r="H1538" s="28"/>
      <c r="I1538" s="29"/>
    </row>
    <row r="1539" spans="6:9" x14ac:dyDescent="0.3">
      <c r="F1539" s="29"/>
      <c r="G1539" s="29"/>
      <c r="H1539" s="28"/>
      <c r="I1539" s="29"/>
    </row>
    <row r="1540" spans="6:9" x14ac:dyDescent="0.3">
      <c r="F1540" s="29"/>
      <c r="G1540" s="29"/>
      <c r="H1540" s="28"/>
      <c r="I1540" s="29"/>
    </row>
    <row r="1541" spans="6:9" x14ac:dyDescent="0.3">
      <c r="F1541" s="29"/>
      <c r="G1541" s="29"/>
      <c r="H1541" s="28"/>
      <c r="I1541" s="29"/>
    </row>
    <row r="1542" spans="6:9" x14ac:dyDescent="0.3">
      <c r="F1542" s="29"/>
      <c r="G1542" s="29"/>
      <c r="H1542" s="28"/>
      <c r="I1542" s="29"/>
    </row>
    <row r="1543" spans="6:9" x14ac:dyDescent="0.3">
      <c r="F1543" s="29"/>
      <c r="G1543" s="29"/>
      <c r="H1543" s="28"/>
      <c r="I1543" s="29"/>
    </row>
    <row r="1544" spans="6:9" x14ac:dyDescent="0.3">
      <c r="F1544" s="29"/>
      <c r="G1544" s="29"/>
      <c r="H1544" s="28"/>
      <c r="I1544" s="29"/>
    </row>
    <row r="1545" spans="6:9" x14ac:dyDescent="0.3">
      <c r="F1545" s="29"/>
      <c r="G1545" s="29"/>
      <c r="H1545" s="28"/>
      <c r="I1545" s="29"/>
    </row>
    <row r="1546" spans="6:9" x14ac:dyDescent="0.3">
      <c r="F1546" s="29"/>
      <c r="G1546" s="29"/>
      <c r="H1546" s="28"/>
      <c r="I1546" s="29"/>
    </row>
    <row r="1547" spans="6:9" x14ac:dyDescent="0.3">
      <c r="F1547" s="29"/>
      <c r="G1547" s="29"/>
      <c r="H1547" s="28"/>
      <c r="I1547" s="29"/>
    </row>
    <row r="1548" spans="6:9" x14ac:dyDescent="0.3">
      <c r="F1548" s="29"/>
      <c r="G1548" s="29"/>
      <c r="H1548" s="28"/>
      <c r="I1548" s="29"/>
    </row>
    <row r="1549" spans="6:9" x14ac:dyDescent="0.3">
      <c r="F1549" s="29"/>
      <c r="G1549" s="29"/>
      <c r="H1549" s="28"/>
      <c r="I1549" s="29"/>
    </row>
    <row r="1550" spans="6:9" x14ac:dyDescent="0.3">
      <c r="F1550" s="29"/>
      <c r="G1550" s="29"/>
      <c r="H1550" s="28"/>
      <c r="I1550" s="29"/>
    </row>
    <row r="1551" spans="6:9" x14ac:dyDescent="0.3">
      <c r="F1551" s="29"/>
      <c r="G1551" s="29"/>
      <c r="H1551" s="28"/>
      <c r="I1551" s="29"/>
    </row>
    <row r="1552" spans="6:9" x14ac:dyDescent="0.3">
      <c r="F1552" s="29"/>
      <c r="G1552" s="29"/>
      <c r="H1552" s="28"/>
      <c r="I1552" s="29"/>
    </row>
    <row r="1553" spans="6:9" x14ac:dyDescent="0.3">
      <c r="F1553" s="29"/>
      <c r="G1553" s="29"/>
      <c r="H1553" s="28"/>
      <c r="I1553" s="29"/>
    </row>
    <row r="1554" spans="6:9" x14ac:dyDescent="0.3">
      <c r="F1554" s="29"/>
      <c r="G1554" s="29"/>
      <c r="H1554" s="28"/>
      <c r="I1554" s="29"/>
    </row>
    <row r="1555" spans="6:9" x14ac:dyDescent="0.3">
      <c r="F1555" s="29"/>
      <c r="G1555" s="29"/>
      <c r="H1555" s="28"/>
      <c r="I1555" s="29"/>
    </row>
    <row r="1556" spans="6:9" x14ac:dyDescent="0.3">
      <c r="F1556" s="29"/>
      <c r="G1556" s="29"/>
      <c r="H1556" s="28"/>
      <c r="I1556" s="29"/>
    </row>
    <row r="1557" spans="6:9" x14ac:dyDescent="0.3">
      <c r="F1557" s="29"/>
      <c r="G1557" s="29"/>
      <c r="H1557" s="28"/>
      <c r="I1557" s="29"/>
    </row>
    <row r="1558" spans="6:9" x14ac:dyDescent="0.3">
      <c r="F1558" s="29"/>
      <c r="G1558" s="29"/>
      <c r="H1558" s="28"/>
      <c r="I1558" s="29"/>
    </row>
    <row r="1559" spans="6:9" x14ac:dyDescent="0.3">
      <c r="F1559" s="29"/>
      <c r="G1559" s="29"/>
      <c r="H1559" s="28"/>
      <c r="I1559" s="29"/>
    </row>
    <row r="1560" spans="6:9" x14ac:dyDescent="0.3">
      <c r="F1560" s="29"/>
      <c r="G1560" s="29"/>
      <c r="H1560" s="28"/>
      <c r="I1560" s="29"/>
    </row>
    <row r="1561" spans="6:9" x14ac:dyDescent="0.3">
      <c r="F1561" s="29"/>
      <c r="G1561" s="29"/>
      <c r="H1561" s="28"/>
      <c r="I1561" s="29"/>
    </row>
    <row r="1562" spans="6:9" x14ac:dyDescent="0.3">
      <c r="F1562" s="29"/>
      <c r="G1562" s="29"/>
      <c r="H1562" s="28"/>
      <c r="I1562" s="29"/>
    </row>
    <row r="1563" spans="6:9" x14ac:dyDescent="0.3">
      <c r="F1563" s="29"/>
      <c r="G1563" s="29"/>
      <c r="H1563" s="28"/>
      <c r="I1563" s="29"/>
    </row>
    <row r="1564" spans="6:9" x14ac:dyDescent="0.3">
      <c r="F1564" s="29"/>
      <c r="G1564" s="29"/>
      <c r="H1564" s="28"/>
      <c r="I1564" s="29"/>
    </row>
    <row r="1565" spans="6:9" x14ac:dyDescent="0.3">
      <c r="F1565" s="29"/>
      <c r="G1565" s="29"/>
      <c r="H1565" s="28"/>
      <c r="I1565" s="29"/>
    </row>
    <row r="1566" spans="6:9" x14ac:dyDescent="0.3">
      <c r="F1566" s="29"/>
      <c r="G1566" s="29"/>
      <c r="H1566" s="28"/>
      <c r="I1566" s="29"/>
    </row>
    <row r="1567" spans="6:9" x14ac:dyDescent="0.3">
      <c r="F1567" s="29"/>
      <c r="G1567" s="29"/>
      <c r="H1567" s="28"/>
      <c r="I1567" s="29"/>
    </row>
    <row r="1568" spans="6:9" x14ac:dyDescent="0.3">
      <c r="F1568" s="29"/>
      <c r="G1568" s="29"/>
      <c r="H1568" s="28"/>
      <c r="I1568" s="29"/>
    </row>
    <row r="1569" spans="6:9" x14ac:dyDescent="0.3">
      <c r="F1569" s="29"/>
      <c r="G1569" s="29"/>
      <c r="H1569" s="28"/>
      <c r="I1569" s="29"/>
    </row>
    <row r="1570" spans="6:9" x14ac:dyDescent="0.3">
      <c r="F1570" s="29"/>
      <c r="G1570" s="29"/>
      <c r="H1570" s="28"/>
      <c r="I1570" s="29"/>
    </row>
    <row r="1571" spans="6:9" x14ac:dyDescent="0.3">
      <c r="F1571" s="29"/>
      <c r="G1571" s="29"/>
      <c r="H1571" s="28"/>
      <c r="I1571" s="29"/>
    </row>
    <row r="1572" spans="6:9" x14ac:dyDescent="0.3">
      <c r="F1572" s="29"/>
      <c r="G1572" s="29"/>
      <c r="H1572" s="28"/>
      <c r="I1572" s="29"/>
    </row>
    <row r="1573" spans="6:9" x14ac:dyDescent="0.3">
      <c r="F1573" s="29"/>
      <c r="G1573" s="29"/>
      <c r="H1573" s="28"/>
      <c r="I1573" s="29"/>
    </row>
    <row r="1574" spans="6:9" x14ac:dyDescent="0.3">
      <c r="F1574" s="29"/>
      <c r="G1574" s="29"/>
      <c r="H1574" s="28"/>
      <c r="I1574" s="29"/>
    </row>
    <row r="1575" spans="6:9" x14ac:dyDescent="0.3">
      <c r="F1575" s="29"/>
      <c r="G1575" s="29"/>
      <c r="H1575" s="28"/>
      <c r="I1575" s="29"/>
    </row>
    <row r="1576" spans="6:9" x14ac:dyDescent="0.3">
      <c r="F1576" s="29"/>
      <c r="G1576" s="29"/>
      <c r="H1576" s="28"/>
      <c r="I1576" s="29"/>
    </row>
    <row r="1577" spans="6:9" x14ac:dyDescent="0.3">
      <c r="F1577" s="29"/>
      <c r="G1577" s="29"/>
      <c r="H1577" s="28"/>
      <c r="I1577" s="29"/>
    </row>
    <row r="1578" spans="6:9" x14ac:dyDescent="0.3">
      <c r="F1578" s="29"/>
      <c r="G1578" s="29"/>
      <c r="H1578" s="28"/>
      <c r="I1578" s="29"/>
    </row>
    <row r="1579" spans="6:9" x14ac:dyDescent="0.3">
      <c r="F1579" s="29"/>
      <c r="G1579" s="29"/>
      <c r="H1579" s="28"/>
      <c r="I1579" s="29"/>
    </row>
    <row r="1580" spans="6:9" x14ac:dyDescent="0.3">
      <c r="F1580" s="29"/>
      <c r="G1580" s="29"/>
      <c r="H1580" s="28"/>
      <c r="I1580" s="29"/>
    </row>
    <row r="1581" spans="6:9" x14ac:dyDescent="0.3">
      <c r="F1581" s="29"/>
      <c r="G1581" s="29"/>
      <c r="H1581" s="28"/>
      <c r="I1581" s="29"/>
    </row>
    <row r="1582" spans="6:9" x14ac:dyDescent="0.3">
      <c r="F1582" s="29"/>
      <c r="G1582" s="29"/>
      <c r="H1582" s="28"/>
      <c r="I1582" s="29"/>
    </row>
    <row r="1583" spans="6:9" x14ac:dyDescent="0.3">
      <c r="F1583" s="29"/>
      <c r="G1583" s="29"/>
      <c r="H1583" s="28"/>
      <c r="I1583" s="29"/>
    </row>
    <row r="1584" spans="6:9" x14ac:dyDescent="0.3">
      <c r="F1584" s="29"/>
      <c r="G1584" s="29"/>
      <c r="H1584" s="28"/>
      <c r="I1584" s="29"/>
    </row>
    <row r="1585" spans="6:9" x14ac:dyDescent="0.3">
      <c r="F1585" s="29"/>
      <c r="G1585" s="29"/>
      <c r="H1585" s="28"/>
      <c r="I1585" s="29"/>
    </row>
    <row r="1586" spans="6:9" x14ac:dyDescent="0.3">
      <c r="F1586" s="29"/>
      <c r="G1586" s="29"/>
      <c r="H1586" s="28"/>
      <c r="I1586" s="29"/>
    </row>
    <row r="1587" spans="6:9" x14ac:dyDescent="0.3">
      <c r="F1587" s="29"/>
      <c r="G1587" s="29"/>
      <c r="H1587" s="28"/>
      <c r="I1587" s="29"/>
    </row>
    <row r="1588" spans="6:9" x14ac:dyDescent="0.3">
      <c r="F1588" s="29"/>
      <c r="G1588" s="29"/>
      <c r="H1588" s="28"/>
      <c r="I1588" s="29"/>
    </row>
    <row r="1589" spans="6:9" x14ac:dyDescent="0.3">
      <c r="F1589" s="29"/>
      <c r="G1589" s="29"/>
      <c r="H1589" s="28"/>
      <c r="I1589" s="29"/>
    </row>
    <row r="1590" spans="6:9" x14ac:dyDescent="0.3">
      <c r="F1590" s="29"/>
      <c r="G1590" s="29"/>
      <c r="H1590" s="28"/>
      <c r="I1590" s="29"/>
    </row>
    <row r="1591" spans="6:9" x14ac:dyDescent="0.3">
      <c r="F1591" s="29"/>
      <c r="G1591" s="29"/>
      <c r="H1591" s="28"/>
      <c r="I1591" s="29"/>
    </row>
    <row r="1592" spans="6:9" x14ac:dyDescent="0.3">
      <c r="F1592" s="29"/>
      <c r="G1592" s="29"/>
      <c r="H1592" s="28"/>
      <c r="I1592" s="29"/>
    </row>
    <row r="1593" spans="6:9" x14ac:dyDescent="0.3">
      <c r="F1593" s="29"/>
      <c r="G1593" s="29"/>
      <c r="H1593" s="28"/>
      <c r="I1593" s="29"/>
    </row>
    <row r="1594" spans="6:9" x14ac:dyDescent="0.3">
      <c r="F1594" s="29"/>
      <c r="G1594" s="29"/>
      <c r="H1594" s="28"/>
      <c r="I1594" s="29"/>
    </row>
    <row r="1595" spans="6:9" x14ac:dyDescent="0.3">
      <c r="F1595" s="29"/>
      <c r="G1595" s="29"/>
      <c r="H1595" s="28"/>
      <c r="I1595" s="29"/>
    </row>
    <row r="1596" spans="6:9" x14ac:dyDescent="0.3">
      <c r="F1596" s="29"/>
      <c r="G1596" s="29"/>
      <c r="H1596" s="28"/>
      <c r="I1596" s="29"/>
    </row>
    <row r="1597" spans="6:9" x14ac:dyDescent="0.3">
      <c r="F1597" s="29"/>
      <c r="G1597" s="29"/>
      <c r="H1597" s="28"/>
      <c r="I1597" s="29"/>
    </row>
    <row r="1598" spans="6:9" x14ac:dyDescent="0.3">
      <c r="F1598" s="29"/>
      <c r="G1598" s="29"/>
      <c r="H1598" s="28"/>
      <c r="I1598" s="29"/>
    </row>
    <row r="1599" spans="6:9" x14ac:dyDescent="0.3">
      <c r="F1599" s="29"/>
      <c r="G1599" s="29"/>
      <c r="H1599" s="28"/>
      <c r="I1599" s="29"/>
    </row>
    <row r="1600" spans="6:9" x14ac:dyDescent="0.3">
      <c r="F1600" s="29"/>
      <c r="G1600" s="29"/>
      <c r="H1600" s="28"/>
      <c r="I1600" s="29"/>
    </row>
    <row r="1601" spans="6:9" x14ac:dyDescent="0.3">
      <c r="F1601" s="29"/>
      <c r="G1601" s="29"/>
      <c r="H1601" s="28"/>
      <c r="I1601" s="29"/>
    </row>
    <row r="1602" spans="6:9" x14ac:dyDescent="0.3">
      <c r="F1602" s="29"/>
      <c r="G1602" s="29"/>
      <c r="H1602" s="28"/>
      <c r="I1602" s="29"/>
    </row>
    <row r="1603" spans="6:9" x14ac:dyDescent="0.3">
      <c r="F1603" s="29"/>
      <c r="G1603" s="29"/>
      <c r="H1603" s="28"/>
      <c r="I1603" s="29"/>
    </row>
    <row r="1604" spans="6:9" x14ac:dyDescent="0.3">
      <c r="F1604" s="29"/>
      <c r="G1604" s="29"/>
      <c r="H1604" s="28"/>
      <c r="I1604" s="29"/>
    </row>
    <row r="1605" spans="6:9" x14ac:dyDescent="0.3">
      <c r="F1605" s="29"/>
      <c r="G1605" s="29"/>
      <c r="H1605" s="28"/>
      <c r="I1605" s="29"/>
    </row>
    <row r="1606" spans="6:9" x14ac:dyDescent="0.3">
      <c r="F1606" s="29"/>
      <c r="G1606" s="29"/>
      <c r="H1606" s="28"/>
      <c r="I1606" s="29"/>
    </row>
    <row r="1607" spans="6:9" x14ac:dyDescent="0.3">
      <c r="F1607" s="29"/>
      <c r="G1607" s="29"/>
      <c r="H1607" s="28"/>
      <c r="I1607" s="29"/>
    </row>
    <row r="1608" spans="6:9" x14ac:dyDescent="0.3">
      <c r="F1608" s="29"/>
      <c r="G1608" s="29"/>
      <c r="H1608" s="28"/>
      <c r="I1608" s="29"/>
    </row>
    <row r="1609" spans="6:9" x14ac:dyDescent="0.3">
      <c r="F1609" s="29"/>
      <c r="G1609" s="29"/>
      <c r="H1609" s="28"/>
      <c r="I1609" s="29"/>
    </row>
    <row r="1610" spans="6:9" x14ac:dyDescent="0.3">
      <c r="F1610" s="29"/>
      <c r="G1610" s="29"/>
      <c r="H1610" s="28"/>
      <c r="I1610" s="29"/>
    </row>
    <row r="1611" spans="6:9" x14ac:dyDescent="0.3">
      <c r="F1611" s="29"/>
      <c r="G1611" s="29"/>
      <c r="H1611" s="28"/>
      <c r="I1611" s="29"/>
    </row>
    <row r="1612" spans="6:9" x14ac:dyDescent="0.3">
      <c r="F1612" s="29"/>
      <c r="G1612" s="29"/>
      <c r="H1612" s="28"/>
      <c r="I1612" s="29"/>
    </row>
    <row r="1613" spans="6:9" x14ac:dyDescent="0.3">
      <c r="F1613" s="29"/>
      <c r="G1613" s="29"/>
      <c r="H1613" s="28"/>
      <c r="I1613" s="29"/>
    </row>
    <row r="1614" spans="6:9" x14ac:dyDescent="0.3">
      <c r="F1614" s="29"/>
      <c r="G1614" s="29"/>
      <c r="H1614" s="28"/>
      <c r="I1614" s="29"/>
    </row>
    <row r="1615" spans="6:9" x14ac:dyDescent="0.3">
      <c r="F1615" s="29"/>
      <c r="G1615" s="29"/>
      <c r="H1615" s="28"/>
      <c r="I1615" s="29"/>
    </row>
    <row r="1616" spans="6:9" x14ac:dyDescent="0.3">
      <c r="F1616" s="29"/>
      <c r="G1616" s="29"/>
      <c r="H1616" s="28"/>
      <c r="I1616" s="29"/>
    </row>
    <row r="1617" spans="6:9" x14ac:dyDescent="0.3">
      <c r="F1617" s="29"/>
      <c r="G1617" s="29"/>
      <c r="H1617" s="28"/>
      <c r="I1617" s="29"/>
    </row>
    <row r="1618" spans="6:9" x14ac:dyDescent="0.3">
      <c r="F1618" s="29"/>
      <c r="G1618" s="29"/>
      <c r="H1618" s="28"/>
      <c r="I1618" s="29"/>
    </row>
    <row r="1619" spans="6:9" x14ac:dyDescent="0.3">
      <c r="F1619" s="29"/>
      <c r="G1619" s="29"/>
      <c r="H1619" s="28"/>
      <c r="I1619" s="29"/>
    </row>
    <row r="1620" spans="6:9" x14ac:dyDescent="0.3">
      <c r="F1620" s="29"/>
      <c r="G1620" s="29"/>
      <c r="H1620" s="28"/>
      <c r="I1620" s="29"/>
    </row>
    <row r="1621" spans="6:9" x14ac:dyDescent="0.3">
      <c r="F1621" s="29"/>
      <c r="G1621" s="29"/>
      <c r="H1621" s="28"/>
      <c r="I1621" s="29"/>
    </row>
    <row r="1622" spans="6:9" x14ac:dyDescent="0.3">
      <c r="F1622" s="29"/>
      <c r="G1622" s="29"/>
      <c r="H1622" s="28"/>
      <c r="I1622" s="29"/>
    </row>
    <row r="1623" spans="6:9" x14ac:dyDescent="0.3">
      <c r="F1623" s="29"/>
      <c r="G1623" s="29"/>
      <c r="H1623" s="28"/>
      <c r="I1623" s="29"/>
    </row>
    <row r="1624" spans="6:9" x14ac:dyDescent="0.3">
      <c r="F1624" s="29"/>
      <c r="G1624" s="29"/>
      <c r="H1624" s="28"/>
      <c r="I1624" s="29"/>
    </row>
    <row r="1625" spans="6:9" x14ac:dyDescent="0.3">
      <c r="F1625" s="29"/>
      <c r="G1625" s="29"/>
      <c r="H1625" s="28"/>
      <c r="I1625" s="29"/>
    </row>
    <row r="1626" spans="6:9" x14ac:dyDescent="0.3">
      <c r="F1626" s="29"/>
      <c r="G1626" s="29"/>
      <c r="H1626" s="28"/>
      <c r="I1626" s="29"/>
    </row>
    <row r="1627" spans="6:9" x14ac:dyDescent="0.3">
      <c r="F1627" s="29"/>
      <c r="G1627" s="29"/>
      <c r="H1627" s="28"/>
      <c r="I1627" s="29"/>
    </row>
    <row r="1628" spans="6:9" x14ac:dyDescent="0.3">
      <c r="F1628" s="29"/>
      <c r="G1628" s="29"/>
      <c r="H1628" s="28"/>
      <c r="I1628" s="29"/>
    </row>
    <row r="1629" spans="6:9" x14ac:dyDescent="0.3">
      <c r="F1629" s="29"/>
      <c r="G1629" s="29"/>
      <c r="H1629" s="28"/>
      <c r="I1629" s="29"/>
    </row>
    <row r="1630" spans="6:9" x14ac:dyDescent="0.3">
      <c r="F1630" s="29"/>
      <c r="G1630" s="29"/>
      <c r="H1630" s="28"/>
      <c r="I1630" s="29"/>
    </row>
    <row r="1631" spans="6:9" x14ac:dyDescent="0.3">
      <c r="F1631" s="29"/>
      <c r="G1631" s="29"/>
      <c r="H1631" s="28"/>
      <c r="I1631" s="29"/>
    </row>
    <row r="1632" spans="6:9" x14ac:dyDescent="0.3">
      <c r="F1632" s="29"/>
      <c r="G1632" s="29"/>
      <c r="H1632" s="28"/>
      <c r="I1632" s="29"/>
    </row>
    <row r="1633" spans="6:9" x14ac:dyDescent="0.3">
      <c r="F1633" s="29"/>
      <c r="G1633" s="29"/>
      <c r="H1633" s="28"/>
      <c r="I1633" s="29"/>
    </row>
    <row r="1634" spans="6:9" x14ac:dyDescent="0.3">
      <c r="F1634" s="29"/>
      <c r="G1634" s="29"/>
      <c r="H1634" s="28"/>
      <c r="I1634" s="29"/>
    </row>
    <row r="1635" spans="6:9" x14ac:dyDescent="0.3">
      <c r="F1635" s="29"/>
      <c r="G1635" s="29"/>
      <c r="H1635" s="28"/>
      <c r="I1635" s="29"/>
    </row>
    <row r="1636" spans="6:9" x14ac:dyDescent="0.3">
      <c r="F1636" s="29"/>
      <c r="G1636" s="29"/>
      <c r="H1636" s="28"/>
      <c r="I1636" s="29"/>
    </row>
    <row r="1637" spans="6:9" x14ac:dyDescent="0.3">
      <c r="F1637" s="29"/>
      <c r="G1637" s="29"/>
      <c r="H1637" s="28"/>
      <c r="I1637" s="29"/>
    </row>
    <row r="1638" spans="6:9" x14ac:dyDescent="0.3">
      <c r="F1638" s="29"/>
      <c r="G1638" s="29"/>
      <c r="H1638" s="28"/>
      <c r="I1638" s="29"/>
    </row>
    <row r="1639" spans="6:9" x14ac:dyDescent="0.3">
      <c r="F1639" s="29"/>
      <c r="G1639" s="29"/>
      <c r="H1639" s="28"/>
      <c r="I1639" s="29"/>
    </row>
    <row r="1640" spans="6:9" x14ac:dyDescent="0.3">
      <c r="F1640" s="29"/>
      <c r="G1640" s="29"/>
      <c r="H1640" s="28"/>
      <c r="I1640" s="29"/>
    </row>
    <row r="1641" spans="6:9" x14ac:dyDescent="0.3">
      <c r="F1641" s="29"/>
      <c r="G1641" s="29"/>
      <c r="H1641" s="28"/>
      <c r="I1641" s="29"/>
    </row>
    <row r="1642" spans="6:9" x14ac:dyDescent="0.3">
      <c r="F1642" s="29"/>
      <c r="G1642" s="29"/>
      <c r="H1642" s="28"/>
      <c r="I1642" s="29"/>
    </row>
    <row r="1643" spans="6:9" x14ac:dyDescent="0.3">
      <c r="F1643" s="29"/>
      <c r="G1643" s="29"/>
      <c r="H1643" s="28"/>
      <c r="I1643" s="29"/>
    </row>
    <row r="1644" spans="6:9" x14ac:dyDescent="0.3">
      <c r="F1644" s="29"/>
      <c r="G1644" s="29"/>
      <c r="H1644" s="28"/>
      <c r="I1644" s="29"/>
    </row>
    <row r="1645" spans="6:9" x14ac:dyDescent="0.3">
      <c r="F1645" s="29"/>
      <c r="G1645" s="29"/>
      <c r="H1645" s="28"/>
      <c r="I1645" s="29"/>
    </row>
    <row r="1646" spans="6:9" x14ac:dyDescent="0.3">
      <c r="F1646" s="29"/>
      <c r="G1646" s="29"/>
      <c r="H1646" s="28"/>
      <c r="I1646" s="29"/>
    </row>
    <row r="1647" spans="6:9" x14ac:dyDescent="0.3">
      <c r="F1647" s="29"/>
      <c r="G1647" s="29"/>
      <c r="H1647" s="28"/>
      <c r="I1647" s="29"/>
    </row>
    <row r="1648" spans="6:9" x14ac:dyDescent="0.3">
      <c r="F1648" s="29"/>
      <c r="G1648" s="29"/>
      <c r="H1648" s="28"/>
      <c r="I1648" s="29"/>
    </row>
    <row r="1649" spans="6:9" x14ac:dyDescent="0.3">
      <c r="F1649" s="29"/>
      <c r="G1649" s="29"/>
      <c r="H1649" s="28"/>
      <c r="I1649" s="29"/>
    </row>
    <row r="1650" spans="6:9" x14ac:dyDescent="0.3">
      <c r="F1650" s="29"/>
      <c r="G1650" s="29"/>
      <c r="H1650" s="28"/>
      <c r="I1650" s="29"/>
    </row>
    <row r="1651" spans="6:9" x14ac:dyDescent="0.3">
      <c r="F1651" s="29"/>
      <c r="G1651" s="29"/>
      <c r="H1651" s="28"/>
      <c r="I1651" s="29"/>
    </row>
    <row r="1652" spans="6:9" x14ac:dyDescent="0.3">
      <c r="F1652" s="29"/>
      <c r="G1652" s="29"/>
      <c r="H1652" s="28"/>
      <c r="I1652" s="29"/>
    </row>
    <row r="1653" spans="6:9" x14ac:dyDescent="0.3">
      <c r="F1653" s="29"/>
      <c r="G1653" s="29"/>
      <c r="H1653" s="28"/>
      <c r="I1653" s="29"/>
    </row>
    <row r="1654" spans="6:9" x14ac:dyDescent="0.3">
      <c r="F1654" s="29"/>
      <c r="G1654" s="29"/>
      <c r="H1654" s="28"/>
      <c r="I1654" s="29"/>
    </row>
    <row r="1655" spans="6:9" x14ac:dyDescent="0.3">
      <c r="F1655" s="29"/>
      <c r="G1655" s="29"/>
      <c r="H1655" s="28"/>
      <c r="I1655" s="29"/>
    </row>
    <row r="1656" spans="6:9" x14ac:dyDescent="0.3">
      <c r="F1656" s="29"/>
      <c r="G1656" s="29"/>
      <c r="H1656" s="28"/>
      <c r="I1656" s="29"/>
    </row>
    <row r="1657" spans="6:9" x14ac:dyDescent="0.3">
      <c r="F1657" s="29"/>
      <c r="G1657" s="29"/>
      <c r="H1657" s="28"/>
      <c r="I1657" s="29"/>
    </row>
    <row r="1658" spans="6:9" x14ac:dyDescent="0.3">
      <c r="F1658" s="29"/>
      <c r="G1658" s="29"/>
      <c r="H1658" s="28"/>
      <c r="I1658" s="29"/>
    </row>
    <row r="1659" spans="6:9" x14ac:dyDescent="0.3">
      <c r="F1659" s="29"/>
      <c r="G1659" s="29"/>
      <c r="H1659" s="28"/>
      <c r="I1659" s="29"/>
    </row>
    <row r="1660" spans="6:9" x14ac:dyDescent="0.3">
      <c r="F1660" s="29"/>
      <c r="G1660" s="29"/>
      <c r="H1660" s="28"/>
      <c r="I1660" s="29"/>
    </row>
    <row r="1661" spans="6:9" x14ac:dyDescent="0.3">
      <c r="F1661" s="29"/>
      <c r="G1661" s="29"/>
      <c r="H1661" s="28"/>
      <c r="I1661" s="29"/>
    </row>
    <row r="1662" spans="6:9" x14ac:dyDescent="0.3">
      <c r="F1662" s="29"/>
      <c r="G1662" s="29"/>
      <c r="H1662" s="28"/>
      <c r="I1662" s="29"/>
    </row>
    <row r="1663" spans="6:9" x14ac:dyDescent="0.3">
      <c r="F1663" s="29"/>
      <c r="G1663" s="29"/>
      <c r="H1663" s="28"/>
      <c r="I1663" s="29"/>
    </row>
    <row r="1664" spans="6:9" x14ac:dyDescent="0.3">
      <c r="F1664" s="29"/>
      <c r="G1664" s="29"/>
      <c r="H1664" s="28"/>
      <c r="I1664" s="29"/>
    </row>
    <row r="1665" spans="6:9" x14ac:dyDescent="0.3">
      <c r="F1665" s="29"/>
      <c r="G1665" s="29"/>
      <c r="H1665" s="28"/>
      <c r="I1665" s="29"/>
    </row>
    <row r="1666" spans="6:9" x14ac:dyDescent="0.3">
      <c r="F1666" s="29"/>
      <c r="G1666" s="29"/>
      <c r="H1666" s="28"/>
      <c r="I1666" s="29"/>
    </row>
    <row r="1667" spans="6:9" x14ac:dyDescent="0.3">
      <c r="F1667" s="29"/>
      <c r="G1667" s="29"/>
      <c r="H1667" s="28"/>
      <c r="I1667" s="29"/>
    </row>
    <row r="1668" spans="6:9" x14ac:dyDescent="0.3">
      <c r="F1668" s="29"/>
      <c r="G1668" s="29"/>
      <c r="H1668" s="28"/>
      <c r="I1668" s="29"/>
    </row>
    <row r="1669" spans="6:9" x14ac:dyDescent="0.3">
      <c r="F1669" s="29"/>
      <c r="G1669" s="29"/>
      <c r="H1669" s="28"/>
      <c r="I1669" s="29"/>
    </row>
    <row r="1670" spans="6:9" x14ac:dyDescent="0.3">
      <c r="F1670" s="29"/>
      <c r="G1670" s="29"/>
      <c r="H1670" s="28"/>
      <c r="I1670" s="29"/>
    </row>
    <row r="1671" spans="6:9" x14ac:dyDescent="0.3">
      <c r="F1671" s="29"/>
      <c r="G1671" s="29"/>
      <c r="H1671" s="28"/>
      <c r="I1671" s="29"/>
    </row>
    <row r="1672" spans="6:9" x14ac:dyDescent="0.3">
      <c r="F1672" s="29"/>
      <c r="G1672" s="29"/>
      <c r="H1672" s="28"/>
      <c r="I1672" s="29"/>
    </row>
    <row r="1673" spans="6:9" x14ac:dyDescent="0.3">
      <c r="F1673" s="29"/>
      <c r="G1673" s="29"/>
      <c r="H1673" s="28"/>
      <c r="I1673" s="29"/>
    </row>
    <row r="1674" spans="6:9" x14ac:dyDescent="0.3">
      <c r="F1674" s="29"/>
      <c r="G1674" s="29"/>
      <c r="H1674" s="28"/>
      <c r="I1674" s="29"/>
    </row>
    <row r="1675" spans="6:9" x14ac:dyDescent="0.3">
      <c r="F1675" s="29"/>
      <c r="G1675" s="29"/>
      <c r="H1675" s="28"/>
      <c r="I1675" s="29"/>
    </row>
    <row r="1676" spans="6:9" x14ac:dyDescent="0.3">
      <c r="F1676" s="29"/>
      <c r="G1676" s="29"/>
      <c r="H1676" s="28"/>
      <c r="I1676" s="29"/>
    </row>
    <row r="1677" spans="6:9" x14ac:dyDescent="0.3">
      <c r="F1677" s="29"/>
      <c r="G1677" s="29"/>
      <c r="H1677" s="28"/>
      <c r="I1677" s="29"/>
    </row>
    <row r="1678" spans="6:9" x14ac:dyDescent="0.3">
      <c r="F1678" s="29"/>
      <c r="G1678" s="29"/>
      <c r="H1678" s="28"/>
      <c r="I1678" s="29"/>
    </row>
    <row r="1679" spans="6:9" x14ac:dyDescent="0.3">
      <c r="F1679" s="29"/>
      <c r="G1679" s="29"/>
      <c r="H1679" s="28"/>
      <c r="I1679" s="29"/>
    </row>
    <row r="1680" spans="6:9" x14ac:dyDescent="0.3">
      <c r="F1680" s="29"/>
      <c r="G1680" s="29"/>
      <c r="H1680" s="28"/>
      <c r="I1680" s="29"/>
    </row>
    <row r="1681" spans="6:9" x14ac:dyDescent="0.3">
      <c r="F1681" s="29"/>
      <c r="G1681" s="29"/>
      <c r="H1681" s="28"/>
      <c r="I1681" s="29"/>
    </row>
    <row r="1682" spans="6:9" x14ac:dyDescent="0.3">
      <c r="F1682" s="29"/>
      <c r="G1682" s="29"/>
      <c r="H1682" s="28"/>
      <c r="I1682" s="29"/>
    </row>
    <row r="1683" spans="6:9" x14ac:dyDescent="0.3">
      <c r="F1683" s="29"/>
      <c r="G1683" s="29"/>
      <c r="H1683" s="28"/>
      <c r="I1683" s="29"/>
    </row>
    <row r="1684" spans="6:9" x14ac:dyDescent="0.3">
      <c r="F1684" s="29"/>
      <c r="G1684" s="29"/>
      <c r="H1684" s="28"/>
      <c r="I1684" s="29"/>
    </row>
    <row r="1685" spans="6:9" x14ac:dyDescent="0.3">
      <c r="F1685" s="29"/>
      <c r="G1685" s="29"/>
      <c r="H1685" s="28"/>
      <c r="I1685" s="29"/>
    </row>
    <row r="1686" spans="6:9" x14ac:dyDescent="0.3">
      <c r="F1686" s="29"/>
      <c r="G1686" s="29"/>
      <c r="H1686" s="28"/>
      <c r="I1686" s="29"/>
    </row>
    <row r="1687" spans="6:9" x14ac:dyDescent="0.3">
      <c r="F1687" s="29"/>
      <c r="G1687" s="29"/>
      <c r="H1687" s="28"/>
      <c r="I1687" s="29"/>
    </row>
    <row r="1688" spans="6:9" x14ac:dyDescent="0.3">
      <c r="F1688" s="29"/>
      <c r="G1688" s="29"/>
      <c r="H1688" s="28"/>
      <c r="I1688" s="29"/>
    </row>
    <row r="1689" spans="6:9" x14ac:dyDescent="0.3">
      <c r="F1689" s="29"/>
      <c r="G1689" s="29"/>
      <c r="H1689" s="28"/>
      <c r="I1689" s="29"/>
    </row>
    <row r="1690" spans="6:9" x14ac:dyDescent="0.3">
      <c r="F1690" s="29"/>
      <c r="G1690" s="29"/>
      <c r="H1690" s="28"/>
      <c r="I1690" s="29"/>
    </row>
    <row r="1691" spans="6:9" x14ac:dyDescent="0.3">
      <c r="F1691" s="29"/>
      <c r="G1691" s="29"/>
      <c r="H1691" s="28"/>
      <c r="I1691" s="29"/>
    </row>
    <row r="1692" spans="6:9" x14ac:dyDescent="0.3">
      <c r="F1692" s="29"/>
      <c r="G1692" s="29"/>
      <c r="H1692" s="28"/>
      <c r="I1692" s="29"/>
    </row>
    <row r="1693" spans="6:9" x14ac:dyDescent="0.3">
      <c r="F1693" s="29"/>
      <c r="G1693" s="29"/>
      <c r="H1693" s="28"/>
      <c r="I1693" s="29"/>
    </row>
    <row r="1694" spans="6:9" x14ac:dyDescent="0.3">
      <c r="F1694" s="29"/>
      <c r="G1694" s="29"/>
      <c r="H1694" s="28"/>
      <c r="I1694" s="29"/>
    </row>
    <row r="1695" spans="6:9" x14ac:dyDescent="0.3">
      <c r="F1695" s="29"/>
      <c r="G1695" s="29"/>
      <c r="H1695" s="28"/>
      <c r="I1695" s="29"/>
    </row>
    <row r="1696" spans="6:9" x14ac:dyDescent="0.3">
      <c r="F1696" s="29"/>
      <c r="G1696" s="29"/>
      <c r="H1696" s="28"/>
      <c r="I1696" s="29"/>
    </row>
    <row r="1697" spans="6:9" x14ac:dyDescent="0.3">
      <c r="F1697" s="29"/>
      <c r="G1697" s="29"/>
      <c r="H1697" s="28"/>
      <c r="I1697" s="29"/>
    </row>
    <row r="1698" spans="6:9" x14ac:dyDescent="0.3">
      <c r="F1698" s="29"/>
      <c r="G1698" s="29"/>
      <c r="H1698" s="28"/>
      <c r="I1698" s="29"/>
    </row>
    <row r="1699" spans="6:9" x14ac:dyDescent="0.3">
      <c r="F1699" s="29"/>
      <c r="G1699" s="29"/>
      <c r="H1699" s="28"/>
      <c r="I1699" s="29"/>
    </row>
    <row r="1700" spans="6:9" x14ac:dyDescent="0.3">
      <c r="F1700" s="29"/>
      <c r="G1700" s="29"/>
      <c r="H1700" s="28"/>
      <c r="I1700" s="29"/>
    </row>
    <row r="1701" spans="6:9" x14ac:dyDescent="0.3">
      <c r="F1701" s="29"/>
      <c r="G1701" s="29"/>
      <c r="H1701" s="28"/>
      <c r="I1701" s="29"/>
    </row>
    <row r="1702" spans="6:9" x14ac:dyDescent="0.3">
      <c r="F1702" s="29"/>
      <c r="G1702" s="29"/>
      <c r="H1702" s="28"/>
      <c r="I1702" s="29"/>
    </row>
    <row r="1703" spans="6:9" x14ac:dyDescent="0.3">
      <c r="F1703" s="29"/>
      <c r="G1703" s="29"/>
      <c r="H1703" s="28"/>
      <c r="I1703" s="29"/>
    </row>
    <row r="1704" spans="6:9" x14ac:dyDescent="0.3">
      <c r="F1704" s="29"/>
      <c r="G1704" s="29"/>
      <c r="H1704" s="28"/>
      <c r="I1704" s="29"/>
    </row>
    <row r="1705" spans="6:9" x14ac:dyDescent="0.3">
      <c r="F1705" s="29"/>
      <c r="G1705" s="29"/>
      <c r="H1705" s="28"/>
      <c r="I1705" s="29"/>
    </row>
    <row r="1706" spans="6:9" x14ac:dyDescent="0.3">
      <c r="F1706" s="29"/>
      <c r="G1706" s="29"/>
      <c r="H1706" s="28"/>
      <c r="I1706" s="29"/>
    </row>
    <row r="1707" spans="6:9" x14ac:dyDescent="0.3">
      <c r="F1707" s="29"/>
      <c r="G1707" s="29"/>
      <c r="H1707" s="28"/>
      <c r="I1707" s="29"/>
    </row>
    <row r="1708" spans="6:9" x14ac:dyDescent="0.3">
      <c r="F1708" s="29"/>
      <c r="G1708" s="29"/>
      <c r="H1708" s="28"/>
      <c r="I1708" s="29"/>
    </row>
    <row r="1709" spans="6:9" x14ac:dyDescent="0.3">
      <c r="F1709" s="29"/>
      <c r="G1709" s="29"/>
      <c r="H1709" s="28"/>
      <c r="I1709" s="29"/>
    </row>
    <row r="1710" spans="6:9" x14ac:dyDescent="0.3">
      <c r="F1710" s="29"/>
      <c r="G1710" s="29"/>
      <c r="H1710" s="28"/>
      <c r="I1710" s="29"/>
    </row>
    <row r="1711" spans="6:9" x14ac:dyDescent="0.3">
      <c r="F1711" s="29"/>
      <c r="G1711" s="29"/>
      <c r="H1711" s="28"/>
      <c r="I1711" s="29"/>
    </row>
    <row r="1712" spans="6:9" x14ac:dyDescent="0.3">
      <c r="F1712" s="29"/>
      <c r="G1712" s="29"/>
      <c r="H1712" s="28"/>
      <c r="I1712" s="29"/>
    </row>
    <row r="1713" spans="6:9" x14ac:dyDescent="0.3">
      <c r="F1713" s="29"/>
      <c r="G1713" s="29"/>
      <c r="H1713" s="28"/>
      <c r="I1713" s="29"/>
    </row>
    <row r="1714" spans="6:9" x14ac:dyDescent="0.3">
      <c r="F1714" s="29"/>
      <c r="G1714" s="29"/>
      <c r="H1714" s="28"/>
      <c r="I1714" s="29"/>
    </row>
    <row r="1715" spans="6:9" x14ac:dyDescent="0.3">
      <c r="F1715" s="29"/>
      <c r="G1715" s="29"/>
      <c r="H1715" s="28"/>
      <c r="I1715" s="29"/>
    </row>
    <row r="1716" spans="6:9" x14ac:dyDescent="0.3">
      <c r="F1716" s="29"/>
      <c r="G1716" s="29"/>
      <c r="H1716" s="28"/>
      <c r="I1716" s="29"/>
    </row>
    <row r="1717" spans="6:9" x14ac:dyDescent="0.3">
      <c r="F1717" s="29"/>
      <c r="G1717" s="29"/>
      <c r="H1717" s="28"/>
      <c r="I1717" s="29"/>
    </row>
    <row r="1718" spans="6:9" x14ac:dyDescent="0.3">
      <c r="F1718" s="29"/>
      <c r="G1718" s="29"/>
      <c r="H1718" s="28"/>
      <c r="I1718" s="29"/>
    </row>
    <row r="1719" spans="6:9" x14ac:dyDescent="0.3">
      <c r="F1719" s="29"/>
      <c r="G1719" s="29"/>
      <c r="H1719" s="28"/>
      <c r="I1719" s="29"/>
    </row>
    <row r="1720" spans="6:9" x14ac:dyDescent="0.3">
      <c r="F1720" s="29"/>
      <c r="G1720" s="29"/>
      <c r="H1720" s="28"/>
      <c r="I1720" s="29"/>
    </row>
    <row r="1721" spans="6:9" x14ac:dyDescent="0.3">
      <c r="F1721" s="29"/>
      <c r="G1721" s="29"/>
      <c r="H1721" s="28"/>
      <c r="I1721" s="29"/>
    </row>
    <row r="1722" spans="6:9" x14ac:dyDescent="0.3">
      <c r="F1722" s="29"/>
      <c r="G1722" s="29"/>
      <c r="H1722" s="28"/>
      <c r="I1722" s="29"/>
    </row>
    <row r="1723" spans="6:9" x14ac:dyDescent="0.3">
      <c r="F1723" s="29"/>
      <c r="G1723" s="29"/>
      <c r="H1723" s="28"/>
      <c r="I1723" s="29"/>
    </row>
    <row r="1724" spans="6:9" x14ac:dyDescent="0.3">
      <c r="F1724" s="29"/>
      <c r="G1724" s="29"/>
      <c r="H1724" s="28"/>
      <c r="I1724" s="29"/>
    </row>
    <row r="1725" spans="6:9" x14ac:dyDescent="0.3">
      <c r="F1725" s="29"/>
      <c r="G1725" s="29"/>
      <c r="H1725" s="28"/>
      <c r="I1725" s="29"/>
    </row>
    <row r="1726" spans="6:9" x14ac:dyDescent="0.3">
      <c r="F1726" s="29"/>
      <c r="G1726" s="29"/>
      <c r="H1726" s="28"/>
      <c r="I1726" s="29"/>
    </row>
    <row r="1727" spans="6:9" x14ac:dyDescent="0.3">
      <c r="F1727" s="29"/>
      <c r="G1727" s="29"/>
      <c r="H1727" s="28"/>
      <c r="I1727" s="29"/>
    </row>
    <row r="1728" spans="6:9" x14ac:dyDescent="0.3">
      <c r="F1728" s="29"/>
      <c r="G1728" s="29"/>
      <c r="H1728" s="28"/>
      <c r="I1728" s="29"/>
    </row>
    <row r="1729" spans="6:9" x14ac:dyDescent="0.3">
      <c r="F1729" s="29"/>
      <c r="G1729" s="29"/>
      <c r="H1729" s="28"/>
      <c r="I1729" s="29"/>
    </row>
    <row r="1730" spans="6:9" x14ac:dyDescent="0.3">
      <c r="F1730" s="29"/>
      <c r="G1730" s="29"/>
      <c r="H1730" s="28"/>
      <c r="I1730" s="29"/>
    </row>
    <row r="1731" spans="6:9" x14ac:dyDescent="0.3">
      <c r="F1731" s="29"/>
      <c r="G1731" s="29"/>
      <c r="H1731" s="28"/>
      <c r="I1731" s="29"/>
    </row>
    <row r="1732" spans="6:9" x14ac:dyDescent="0.3">
      <c r="F1732" s="29"/>
      <c r="G1732" s="29"/>
      <c r="H1732" s="28"/>
      <c r="I1732" s="29"/>
    </row>
    <row r="1733" spans="6:9" x14ac:dyDescent="0.3">
      <c r="F1733" s="29"/>
      <c r="G1733" s="29"/>
      <c r="H1733" s="28"/>
      <c r="I1733" s="29"/>
    </row>
    <row r="1734" spans="6:9" x14ac:dyDescent="0.3">
      <c r="F1734" s="29"/>
      <c r="G1734" s="29"/>
      <c r="H1734" s="28"/>
      <c r="I1734" s="29"/>
    </row>
    <row r="1735" spans="6:9" x14ac:dyDescent="0.3">
      <c r="F1735" s="29"/>
      <c r="G1735" s="29"/>
      <c r="H1735" s="28"/>
      <c r="I1735" s="29"/>
    </row>
    <row r="1736" spans="6:9" x14ac:dyDescent="0.3">
      <c r="F1736" s="29"/>
      <c r="G1736" s="29"/>
      <c r="H1736" s="28"/>
      <c r="I1736" s="29"/>
    </row>
    <row r="1737" spans="6:9" x14ac:dyDescent="0.3">
      <c r="F1737" s="29"/>
      <c r="G1737" s="29"/>
      <c r="H1737" s="28"/>
      <c r="I1737" s="29"/>
    </row>
    <row r="1738" spans="6:9" x14ac:dyDescent="0.3">
      <c r="F1738" s="29"/>
      <c r="G1738" s="29"/>
      <c r="H1738" s="28"/>
      <c r="I1738" s="29"/>
    </row>
    <row r="1739" spans="6:9" x14ac:dyDescent="0.3">
      <c r="F1739" s="29"/>
      <c r="G1739" s="29"/>
      <c r="H1739" s="28"/>
      <c r="I1739" s="29"/>
    </row>
    <row r="1740" spans="6:9" x14ac:dyDescent="0.3">
      <c r="F1740" s="29"/>
      <c r="G1740" s="29"/>
      <c r="H1740" s="28"/>
      <c r="I1740" s="29"/>
    </row>
    <row r="1741" spans="6:9" x14ac:dyDescent="0.3">
      <c r="F1741" s="29"/>
      <c r="G1741" s="29"/>
      <c r="H1741" s="28"/>
      <c r="I1741" s="29"/>
    </row>
    <row r="1742" spans="6:9" x14ac:dyDescent="0.3">
      <c r="F1742" s="29"/>
      <c r="G1742" s="29"/>
      <c r="H1742" s="28"/>
      <c r="I1742" s="29"/>
    </row>
    <row r="1743" spans="6:9" x14ac:dyDescent="0.3">
      <c r="F1743" s="29"/>
      <c r="G1743" s="29"/>
      <c r="H1743" s="28"/>
      <c r="I1743" s="29"/>
    </row>
    <row r="1744" spans="6:9" x14ac:dyDescent="0.3">
      <c r="F1744" s="29"/>
      <c r="G1744" s="29"/>
      <c r="H1744" s="28"/>
      <c r="I1744" s="29"/>
    </row>
    <row r="1745" spans="6:9" x14ac:dyDescent="0.3">
      <c r="F1745" s="29"/>
      <c r="G1745" s="29"/>
      <c r="H1745" s="28"/>
      <c r="I1745" s="29"/>
    </row>
    <row r="1746" spans="6:9" x14ac:dyDescent="0.3">
      <c r="F1746" s="29"/>
      <c r="G1746" s="29"/>
      <c r="H1746" s="28"/>
      <c r="I1746" s="29"/>
    </row>
    <row r="1747" spans="6:9" x14ac:dyDescent="0.3">
      <c r="F1747" s="29"/>
      <c r="G1747" s="29"/>
      <c r="H1747" s="28"/>
      <c r="I1747" s="29"/>
    </row>
    <row r="1748" spans="6:9" x14ac:dyDescent="0.3">
      <c r="F1748" s="29"/>
      <c r="G1748" s="29"/>
      <c r="H1748" s="28"/>
      <c r="I1748" s="29"/>
    </row>
    <row r="1749" spans="6:9" x14ac:dyDescent="0.3">
      <c r="F1749" s="29"/>
      <c r="G1749" s="29"/>
      <c r="H1749" s="28"/>
      <c r="I1749" s="29"/>
    </row>
    <row r="1750" spans="6:9" x14ac:dyDescent="0.3">
      <c r="F1750" s="29"/>
      <c r="G1750" s="29"/>
      <c r="H1750" s="28"/>
      <c r="I1750" s="29"/>
    </row>
    <row r="1751" spans="6:9" x14ac:dyDescent="0.3">
      <c r="F1751" s="29"/>
      <c r="G1751" s="29"/>
      <c r="H1751" s="28"/>
      <c r="I1751" s="29"/>
    </row>
    <row r="1752" spans="6:9" x14ac:dyDescent="0.3">
      <c r="F1752" s="29"/>
      <c r="G1752" s="29"/>
      <c r="H1752" s="28"/>
      <c r="I1752" s="29"/>
    </row>
    <row r="1753" spans="6:9" x14ac:dyDescent="0.3">
      <c r="F1753" s="29"/>
      <c r="G1753" s="29"/>
      <c r="H1753" s="28"/>
      <c r="I1753" s="29"/>
    </row>
    <row r="1754" spans="6:9" x14ac:dyDescent="0.3">
      <c r="F1754" s="29"/>
      <c r="G1754" s="29"/>
      <c r="H1754" s="28"/>
      <c r="I1754" s="29"/>
    </row>
    <row r="1755" spans="6:9" x14ac:dyDescent="0.3">
      <c r="F1755" s="29"/>
      <c r="G1755" s="29"/>
      <c r="H1755" s="28"/>
      <c r="I1755" s="29"/>
    </row>
    <row r="1756" spans="6:9" x14ac:dyDescent="0.3">
      <c r="F1756" s="29"/>
      <c r="G1756" s="29"/>
      <c r="H1756" s="28"/>
      <c r="I1756" s="29"/>
    </row>
    <row r="1757" spans="6:9" x14ac:dyDescent="0.3">
      <c r="F1757" s="29"/>
      <c r="G1757" s="29"/>
      <c r="H1757" s="28"/>
      <c r="I1757" s="29"/>
    </row>
    <row r="1758" spans="6:9" x14ac:dyDescent="0.3">
      <c r="F1758" s="29"/>
      <c r="G1758" s="29"/>
      <c r="H1758" s="28"/>
      <c r="I1758" s="29"/>
    </row>
    <row r="1759" spans="6:9" x14ac:dyDescent="0.3">
      <c r="F1759" s="29"/>
      <c r="G1759" s="29"/>
      <c r="H1759" s="28"/>
      <c r="I1759" s="29"/>
    </row>
    <row r="1760" spans="6:9" x14ac:dyDescent="0.3">
      <c r="F1760" s="29"/>
      <c r="G1760" s="29"/>
      <c r="H1760" s="28"/>
      <c r="I1760" s="29"/>
    </row>
    <row r="1761" spans="6:9" x14ac:dyDescent="0.3">
      <c r="F1761" s="29"/>
      <c r="G1761" s="29"/>
      <c r="H1761" s="28"/>
      <c r="I1761" s="29"/>
    </row>
    <row r="1762" spans="6:9" x14ac:dyDescent="0.3">
      <c r="F1762" s="29"/>
      <c r="G1762" s="29"/>
      <c r="H1762" s="28"/>
      <c r="I1762" s="29"/>
    </row>
    <row r="1763" spans="6:9" x14ac:dyDescent="0.3">
      <c r="F1763" s="29"/>
      <c r="G1763" s="29"/>
      <c r="H1763" s="28"/>
      <c r="I1763" s="29"/>
    </row>
    <row r="1764" spans="6:9" x14ac:dyDescent="0.3">
      <c r="F1764" s="29"/>
      <c r="G1764" s="29"/>
      <c r="H1764" s="28"/>
      <c r="I1764" s="29"/>
    </row>
    <row r="1765" spans="6:9" x14ac:dyDescent="0.3">
      <c r="F1765" s="29"/>
      <c r="G1765" s="29"/>
      <c r="H1765" s="28"/>
      <c r="I1765" s="29"/>
    </row>
    <row r="1766" spans="6:9" x14ac:dyDescent="0.3">
      <c r="F1766" s="29"/>
      <c r="G1766" s="29"/>
      <c r="H1766" s="28"/>
      <c r="I1766" s="29"/>
    </row>
    <row r="1767" spans="6:9" x14ac:dyDescent="0.3">
      <c r="F1767" s="29"/>
      <c r="G1767" s="29"/>
      <c r="H1767" s="28"/>
      <c r="I1767" s="29"/>
    </row>
    <row r="1768" spans="6:9" x14ac:dyDescent="0.3">
      <c r="F1768" s="29"/>
      <c r="G1768" s="29"/>
      <c r="H1768" s="28"/>
      <c r="I1768" s="29"/>
    </row>
    <row r="1769" spans="6:9" x14ac:dyDescent="0.3">
      <c r="F1769" s="29"/>
      <c r="G1769" s="29"/>
      <c r="H1769" s="28"/>
      <c r="I1769" s="29"/>
    </row>
    <row r="1770" spans="6:9" x14ac:dyDescent="0.3">
      <c r="F1770" s="29"/>
      <c r="G1770" s="29"/>
      <c r="H1770" s="28"/>
      <c r="I1770" s="29"/>
    </row>
    <row r="1771" spans="6:9" x14ac:dyDescent="0.3">
      <c r="F1771" s="29"/>
      <c r="G1771" s="29"/>
      <c r="H1771" s="28"/>
      <c r="I1771" s="29"/>
    </row>
    <row r="1772" spans="6:9" x14ac:dyDescent="0.3">
      <c r="F1772" s="29"/>
      <c r="G1772" s="29"/>
      <c r="H1772" s="28"/>
      <c r="I1772" s="29"/>
    </row>
    <row r="1773" spans="6:9" x14ac:dyDescent="0.3">
      <c r="F1773" s="29"/>
      <c r="G1773" s="29"/>
      <c r="H1773" s="28"/>
      <c r="I1773" s="29"/>
    </row>
    <row r="1774" spans="6:9" x14ac:dyDescent="0.3">
      <c r="F1774" s="29"/>
      <c r="G1774" s="29"/>
      <c r="H1774" s="28"/>
      <c r="I1774" s="29"/>
    </row>
    <row r="1775" spans="6:9" x14ac:dyDescent="0.3">
      <c r="F1775" s="29"/>
      <c r="G1775" s="29"/>
      <c r="H1775" s="28"/>
      <c r="I1775" s="29"/>
    </row>
    <row r="1776" spans="6:9" x14ac:dyDescent="0.3">
      <c r="F1776" s="29"/>
      <c r="G1776" s="29"/>
      <c r="H1776" s="28"/>
      <c r="I1776" s="29"/>
    </row>
    <row r="1777" spans="6:9" x14ac:dyDescent="0.3">
      <c r="F1777" s="29"/>
      <c r="G1777" s="29"/>
      <c r="H1777" s="28"/>
      <c r="I1777" s="29"/>
    </row>
    <row r="1778" spans="6:9" x14ac:dyDescent="0.3">
      <c r="F1778" s="29"/>
      <c r="G1778" s="29"/>
      <c r="H1778" s="28"/>
      <c r="I1778" s="29"/>
    </row>
    <row r="1779" spans="6:9" x14ac:dyDescent="0.3">
      <c r="F1779" s="29"/>
      <c r="G1779" s="29"/>
      <c r="H1779" s="28"/>
      <c r="I1779" s="29"/>
    </row>
    <row r="1780" spans="6:9" x14ac:dyDescent="0.3">
      <c r="F1780" s="29"/>
      <c r="G1780" s="29"/>
      <c r="H1780" s="28"/>
      <c r="I1780" s="29"/>
    </row>
    <row r="1781" spans="6:9" x14ac:dyDescent="0.3">
      <c r="F1781" s="29"/>
      <c r="G1781" s="29"/>
      <c r="H1781" s="28"/>
      <c r="I1781" s="29"/>
    </row>
    <row r="1782" spans="6:9" x14ac:dyDescent="0.3">
      <c r="F1782" s="29"/>
      <c r="G1782" s="29"/>
      <c r="H1782" s="28"/>
      <c r="I1782" s="29"/>
    </row>
    <row r="1783" spans="6:9" x14ac:dyDescent="0.3">
      <c r="F1783" s="29"/>
      <c r="G1783" s="29"/>
      <c r="H1783" s="28"/>
      <c r="I1783" s="29"/>
    </row>
    <row r="1784" spans="6:9" x14ac:dyDescent="0.3">
      <c r="F1784" s="29"/>
      <c r="G1784" s="29"/>
      <c r="H1784" s="28"/>
      <c r="I1784" s="29"/>
    </row>
    <row r="1785" spans="6:9" x14ac:dyDescent="0.3">
      <c r="F1785" s="29"/>
      <c r="G1785" s="29"/>
      <c r="H1785" s="28"/>
      <c r="I1785" s="29"/>
    </row>
    <row r="1786" spans="6:9" x14ac:dyDescent="0.3">
      <c r="F1786" s="29"/>
      <c r="G1786" s="29"/>
      <c r="H1786" s="28"/>
      <c r="I1786" s="29"/>
    </row>
    <row r="1787" spans="6:9" x14ac:dyDescent="0.3">
      <c r="F1787" s="29"/>
      <c r="G1787" s="29"/>
      <c r="H1787" s="28"/>
      <c r="I1787" s="29"/>
    </row>
    <row r="1788" spans="6:9" x14ac:dyDescent="0.3">
      <c r="F1788" s="29"/>
      <c r="G1788" s="29"/>
      <c r="H1788" s="28"/>
      <c r="I1788" s="29"/>
    </row>
    <row r="1789" spans="6:9" x14ac:dyDescent="0.3">
      <c r="F1789" s="29"/>
      <c r="G1789" s="29"/>
      <c r="H1789" s="28"/>
      <c r="I1789" s="29"/>
    </row>
    <row r="1790" spans="6:9" x14ac:dyDescent="0.3">
      <c r="F1790" s="29"/>
      <c r="G1790" s="29"/>
      <c r="H1790" s="28"/>
      <c r="I1790" s="29"/>
    </row>
    <row r="1791" spans="6:9" x14ac:dyDescent="0.3">
      <c r="F1791" s="29"/>
      <c r="G1791" s="29"/>
      <c r="H1791" s="28"/>
      <c r="I1791" s="29"/>
    </row>
    <row r="1792" spans="6:9" x14ac:dyDescent="0.3">
      <c r="F1792" s="29"/>
      <c r="G1792" s="29"/>
      <c r="H1792" s="28"/>
      <c r="I1792" s="29"/>
    </row>
    <row r="1793" spans="6:9" x14ac:dyDescent="0.3">
      <c r="F1793" s="29"/>
      <c r="G1793" s="29"/>
      <c r="H1793" s="28"/>
      <c r="I1793" s="29"/>
    </row>
    <row r="1794" spans="6:9" x14ac:dyDescent="0.3">
      <c r="F1794" s="29"/>
      <c r="G1794" s="29"/>
      <c r="H1794" s="28"/>
      <c r="I1794" s="29"/>
    </row>
    <row r="1795" spans="6:9" x14ac:dyDescent="0.3">
      <c r="F1795" s="29"/>
      <c r="G1795" s="29"/>
      <c r="H1795" s="28"/>
      <c r="I1795" s="29"/>
    </row>
    <row r="1796" spans="6:9" x14ac:dyDescent="0.3">
      <c r="F1796" s="29"/>
      <c r="G1796" s="29"/>
      <c r="H1796" s="28"/>
      <c r="I1796" s="29"/>
    </row>
    <row r="1797" spans="6:9" x14ac:dyDescent="0.3">
      <c r="F1797" s="29"/>
      <c r="G1797" s="29"/>
      <c r="H1797" s="28"/>
      <c r="I1797" s="29"/>
    </row>
    <row r="1798" spans="6:9" x14ac:dyDescent="0.3">
      <c r="F1798" s="29"/>
      <c r="G1798" s="29"/>
      <c r="H1798" s="28"/>
      <c r="I1798" s="29"/>
    </row>
    <row r="1799" spans="6:9" x14ac:dyDescent="0.3">
      <c r="F1799" s="29"/>
      <c r="G1799" s="29"/>
      <c r="H1799" s="28"/>
      <c r="I1799" s="29"/>
    </row>
    <row r="1800" spans="6:9" x14ac:dyDescent="0.3">
      <c r="F1800" s="29"/>
      <c r="G1800" s="29"/>
      <c r="H1800" s="28"/>
      <c r="I1800" s="29"/>
    </row>
    <row r="1801" spans="6:9" x14ac:dyDescent="0.3">
      <c r="F1801" s="29"/>
      <c r="G1801" s="29"/>
      <c r="H1801" s="28"/>
      <c r="I1801" s="29"/>
    </row>
    <row r="1802" spans="6:9" x14ac:dyDescent="0.3">
      <c r="F1802" s="29"/>
      <c r="G1802" s="29"/>
      <c r="H1802" s="28"/>
      <c r="I1802" s="29"/>
    </row>
    <row r="1803" spans="6:9" x14ac:dyDescent="0.3">
      <c r="F1803" s="29"/>
      <c r="G1803" s="29"/>
      <c r="H1803" s="28"/>
      <c r="I1803" s="29"/>
    </row>
    <row r="1804" spans="6:9" x14ac:dyDescent="0.3">
      <c r="F1804" s="29"/>
      <c r="G1804" s="29"/>
      <c r="H1804" s="28"/>
      <c r="I1804" s="29"/>
    </row>
    <row r="1805" spans="6:9" x14ac:dyDescent="0.3">
      <c r="F1805" s="29"/>
      <c r="G1805" s="29"/>
      <c r="H1805" s="28"/>
      <c r="I1805" s="29"/>
    </row>
    <row r="1806" spans="6:9" x14ac:dyDescent="0.3">
      <c r="F1806" s="29"/>
      <c r="G1806" s="29"/>
      <c r="H1806" s="28"/>
      <c r="I1806" s="29"/>
    </row>
    <row r="1807" spans="6:9" x14ac:dyDescent="0.3">
      <c r="F1807" s="29"/>
      <c r="G1807" s="29"/>
      <c r="H1807" s="28"/>
      <c r="I1807" s="29"/>
    </row>
    <row r="1808" spans="6:9" x14ac:dyDescent="0.3">
      <c r="F1808" s="29"/>
      <c r="G1808" s="29"/>
      <c r="H1808" s="28"/>
      <c r="I1808" s="29"/>
    </row>
    <row r="1809" spans="6:9" x14ac:dyDescent="0.3">
      <c r="F1809" s="29"/>
      <c r="G1809" s="29"/>
      <c r="H1809" s="28"/>
      <c r="I1809" s="29"/>
    </row>
    <row r="1810" spans="6:9" x14ac:dyDescent="0.3">
      <c r="F1810" s="29"/>
      <c r="G1810" s="29"/>
      <c r="H1810" s="28"/>
      <c r="I1810" s="29"/>
    </row>
    <row r="1811" spans="6:9" x14ac:dyDescent="0.3">
      <c r="F1811" s="29"/>
      <c r="G1811" s="29"/>
      <c r="H1811" s="28"/>
      <c r="I1811" s="29"/>
    </row>
    <row r="1812" spans="6:9" x14ac:dyDescent="0.3">
      <c r="F1812" s="29"/>
      <c r="G1812" s="29"/>
      <c r="H1812" s="28"/>
      <c r="I1812" s="29"/>
    </row>
    <row r="1813" spans="6:9" x14ac:dyDescent="0.3">
      <c r="F1813" s="29"/>
      <c r="G1813" s="29"/>
      <c r="H1813" s="28"/>
      <c r="I1813" s="29"/>
    </row>
    <row r="1814" spans="6:9" x14ac:dyDescent="0.3">
      <c r="F1814" s="29"/>
      <c r="G1814" s="29"/>
      <c r="H1814" s="28"/>
      <c r="I1814" s="29"/>
    </row>
    <row r="1815" spans="6:9" x14ac:dyDescent="0.3">
      <c r="F1815" s="29"/>
      <c r="G1815" s="29"/>
      <c r="H1815" s="28"/>
      <c r="I1815" s="29"/>
    </row>
    <row r="1816" spans="6:9" x14ac:dyDescent="0.3">
      <c r="F1816" s="29"/>
      <c r="G1816" s="29"/>
      <c r="H1816" s="28"/>
      <c r="I1816" s="29"/>
    </row>
    <row r="1817" spans="6:9" x14ac:dyDescent="0.3">
      <c r="F1817" s="29"/>
      <c r="G1817" s="29"/>
      <c r="H1817" s="28"/>
      <c r="I1817" s="29"/>
    </row>
    <row r="1818" spans="6:9" x14ac:dyDescent="0.3">
      <c r="F1818" s="29"/>
      <c r="G1818" s="29"/>
      <c r="H1818" s="28"/>
      <c r="I1818" s="29"/>
    </row>
    <row r="1819" spans="6:9" x14ac:dyDescent="0.3">
      <c r="F1819" s="29"/>
      <c r="G1819" s="29"/>
      <c r="H1819" s="28"/>
      <c r="I1819" s="29"/>
    </row>
    <row r="1820" spans="6:9" x14ac:dyDescent="0.3">
      <c r="F1820" s="29"/>
      <c r="G1820" s="29"/>
      <c r="H1820" s="28"/>
      <c r="I1820" s="29"/>
    </row>
    <row r="1821" spans="6:9" x14ac:dyDescent="0.3">
      <c r="F1821" s="29"/>
      <c r="G1821" s="29"/>
      <c r="H1821" s="28"/>
      <c r="I1821" s="29"/>
    </row>
    <row r="1822" spans="6:9" x14ac:dyDescent="0.3">
      <c r="F1822" s="29"/>
      <c r="G1822" s="29"/>
      <c r="H1822" s="28"/>
      <c r="I1822" s="29"/>
    </row>
    <row r="1823" spans="6:9" x14ac:dyDescent="0.3">
      <c r="F1823" s="29"/>
      <c r="G1823" s="29"/>
      <c r="H1823" s="28"/>
      <c r="I1823" s="29"/>
    </row>
    <row r="1824" spans="6:9" x14ac:dyDescent="0.3">
      <c r="F1824" s="29"/>
      <c r="G1824" s="29"/>
      <c r="H1824" s="28"/>
      <c r="I1824" s="29"/>
    </row>
    <row r="1825" spans="6:9" x14ac:dyDescent="0.3">
      <c r="F1825" s="29"/>
      <c r="G1825" s="29"/>
      <c r="H1825" s="28"/>
      <c r="I1825" s="29"/>
    </row>
    <row r="1826" spans="6:9" x14ac:dyDescent="0.3">
      <c r="F1826" s="29"/>
      <c r="G1826" s="29"/>
      <c r="H1826" s="28"/>
      <c r="I1826" s="29"/>
    </row>
    <row r="1827" spans="6:9" x14ac:dyDescent="0.3">
      <c r="F1827" s="29"/>
      <c r="G1827" s="29"/>
      <c r="H1827" s="28"/>
      <c r="I1827" s="29"/>
    </row>
    <row r="1828" spans="6:9" x14ac:dyDescent="0.3">
      <c r="F1828" s="29"/>
      <c r="G1828" s="29"/>
      <c r="H1828" s="28"/>
      <c r="I1828" s="29"/>
    </row>
    <row r="1829" spans="6:9" x14ac:dyDescent="0.3">
      <c r="F1829" s="29"/>
      <c r="G1829" s="29"/>
      <c r="H1829" s="28"/>
      <c r="I1829" s="29"/>
    </row>
    <row r="1830" spans="6:9" x14ac:dyDescent="0.3">
      <c r="F1830" s="29"/>
      <c r="G1830" s="29"/>
      <c r="H1830" s="28"/>
      <c r="I1830" s="29"/>
    </row>
    <row r="1831" spans="6:9" x14ac:dyDescent="0.3">
      <c r="F1831" s="29"/>
      <c r="G1831" s="29"/>
      <c r="H1831" s="28"/>
      <c r="I1831" s="29"/>
    </row>
    <row r="1832" spans="6:9" x14ac:dyDescent="0.3">
      <c r="F1832" s="29"/>
      <c r="G1832" s="29"/>
      <c r="H1832" s="28"/>
      <c r="I1832" s="29"/>
    </row>
    <row r="1833" spans="6:9" x14ac:dyDescent="0.3">
      <c r="F1833" s="29"/>
      <c r="G1833" s="29"/>
      <c r="H1833" s="28"/>
      <c r="I1833" s="29"/>
    </row>
    <row r="1834" spans="6:9" x14ac:dyDescent="0.3">
      <c r="F1834" s="29"/>
      <c r="G1834" s="29"/>
      <c r="H1834" s="28"/>
      <c r="I1834" s="29"/>
    </row>
    <row r="1835" spans="6:9" x14ac:dyDescent="0.3">
      <c r="F1835" s="29"/>
      <c r="G1835" s="29"/>
      <c r="H1835" s="28"/>
      <c r="I1835" s="29"/>
    </row>
    <row r="1836" spans="6:9" x14ac:dyDescent="0.3">
      <c r="F1836" s="29"/>
      <c r="G1836" s="29"/>
      <c r="H1836" s="28"/>
      <c r="I1836" s="29"/>
    </row>
    <row r="1837" spans="6:9" x14ac:dyDescent="0.3">
      <c r="F1837" s="29"/>
      <c r="G1837" s="29"/>
      <c r="H1837" s="28"/>
      <c r="I1837" s="29"/>
    </row>
    <row r="1838" spans="6:9" x14ac:dyDescent="0.3">
      <c r="F1838" s="29"/>
      <c r="G1838" s="29"/>
      <c r="H1838" s="28"/>
      <c r="I1838" s="29"/>
    </row>
    <row r="1839" spans="6:9" x14ac:dyDescent="0.3">
      <c r="F1839" s="29"/>
      <c r="G1839" s="29"/>
      <c r="H1839" s="28"/>
      <c r="I1839" s="29"/>
    </row>
    <row r="1840" spans="6:9" x14ac:dyDescent="0.3">
      <c r="F1840" s="29"/>
      <c r="G1840" s="29"/>
      <c r="H1840" s="28"/>
      <c r="I1840" s="29"/>
    </row>
    <row r="1841" spans="6:9" x14ac:dyDescent="0.3">
      <c r="F1841" s="29"/>
      <c r="G1841" s="29"/>
      <c r="H1841" s="28"/>
      <c r="I1841" s="29"/>
    </row>
    <row r="1842" spans="6:9" x14ac:dyDescent="0.3">
      <c r="F1842" s="29"/>
      <c r="G1842" s="29"/>
      <c r="H1842" s="28"/>
      <c r="I1842" s="29"/>
    </row>
    <row r="1843" spans="6:9" x14ac:dyDescent="0.3">
      <c r="F1843" s="29"/>
      <c r="G1843" s="29"/>
      <c r="H1843" s="28"/>
      <c r="I1843" s="29"/>
    </row>
    <row r="1844" spans="6:9" x14ac:dyDescent="0.3">
      <c r="F1844" s="29"/>
      <c r="G1844" s="29"/>
      <c r="H1844" s="28"/>
      <c r="I1844" s="29"/>
    </row>
    <row r="1845" spans="6:9" x14ac:dyDescent="0.3">
      <c r="F1845" s="29"/>
      <c r="G1845" s="29"/>
      <c r="H1845" s="28"/>
      <c r="I1845" s="29"/>
    </row>
    <row r="1846" spans="6:9" x14ac:dyDescent="0.3">
      <c r="F1846" s="29"/>
      <c r="G1846" s="29"/>
      <c r="H1846" s="28"/>
      <c r="I1846" s="29"/>
    </row>
    <row r="1847" spans="6:9" x14ac:dyDescent="0.3">
      <c r="F1847" s="29"/>
      <c r="G1847" s="29"/>
      <c r="H1847" s="28"/>
      <c r="I1847" s="29"/>
    </row>
    <row r="1848" spans="6:9" x14ac:dyDescent="0.3">
      <c r="F1848" s="29"/>
      <c r="G1848" s="29"/>
      <c r="H1848" s="28"/>
      <c r="I1848" s="29"/>
    </row>
    <row r="1849" spans="6:9" x14ac:dyDescent="0.3">
      <c r="F1849" s="29"/>
      <c r="G1849" s="29"/>
      <c r="H1849" s="28"/>
      <c r="I1849" s="29"/>
    </row>
    <row r="1850" spans="6:9" x14ac:dyDescent="0.3">
      <c r="F1850" s="29"/>
      <c r="G1850" s="29"/>
      <c r="H1850" s="28"/>
      <c r="I1850" s="29"/>
    </row>
    <row r="1851" spans="6:9" x14ac:dyDescent="0.3">
      <c r="F1851" s="29"/>
      <c r="G1851" s="29"/>
      <c r="H1851" s="28"/>
      <c r="I1851" s="29"/>
    </row>
    <row r="1852" spans="6:9" x14ac:dyDescent="0.3">
      <c r="F1852" s="29"/>
      <c r="G1852" s="29"/>
      <c r="H1852" s="28"/>
      <c r="I1852" s="29"/>
    </row>
    <row r="1853" spans="6:9" x14ac:dyDescent="0.3">
      <c r="F1853" s="29"/>
      <c r="G1853" s="29"/>
      <c r="H1853" s="28"/>
      <c r="I1853" s="29"/>
    </row>
    <row r="1854" spans="6:9" x14ac:dyDescent="0.3">
      <c r="F1854" s="29"/>
      <c r="G1854" s="29"/>
      <c r="H1854" s="28"/>
      <c r="I1854" s="29"/>
    </row>
    <row r="1855" spans="6:9" x14ac:dyDescent="0.3">
      <c r="F1855" s="29"/>
      <c r="G1855" s="29"/>
      <c r="H1855" s="28"/>
      <c r="I1855" s="29"/>
    </row>
    <row r="1856" spans="6:9" x14ac:dyDescent="0.3">
      <c r="F1856" s="29"/>
      <c r="G1856" s="29"/>
      <c r="H1856" s="28"/>
      <c r="I1856" s="29"/>
    </row>
    <row r="1857" spans="6:9" x14ac:dyDescent="0.3">
      <c r="F1857" s="29"/>
      <c r="G1857" s="29"/>
      <c r="H1857" s="28"/>
      <c r="I1857" s="29"/>
    </row>
    <row r="1858" spans="6:9" x14ac:dyDescent="0.3">
      <c r="F1858" s="29"/>
      <c r="G1858" s="29"/>
      <c r="H1858" s="28"/>
      <c r="I1858" s="29"/>
    </row>
    <row r="1859" spans="6:9" x14ac:dyDescent="0.3">
      <c r="F1859" s="29"/>
      <c r="G1859" s="29"/>
      <c r="H1859" s="28"/>
      <c r="I1859" s="29"/>
    </row>
    <row r="1860" spans="6:9" x14ac:dyDescent="0.3">
      <c r="F1860" s="29"/>
      <c r="G1860" s="29"/>
      <c r="H1860" s="28"/>
      <c r="I1860" s="29"/>
    </row>
    <row r="1861" spans="6:9" x14ac:dyDescent="0.3">
      <c r="F1861" s="29"/>
      <c r="G1861" s="29"/>
      <c r="H1861" s="28"/>
      <c r="I1861" s="29"/>
    </row>
    <row r="1862" spans="6:9" x14ac:dyDescent="0.3">
      <c r="F1862" s="29"/>
      <c r="G1862" s="29"/>
      <c r="H1862" s="28"/>
      <c r="I1862" s="29"/>
    </row>
    <row r="1863" spans="6:9" x14ac:dyDescent="0.3">
      <c r="F1863" s="29"/>
      <c r="G1863" s="29"/>
      <c r="H1863" s="28"/>
      <c r="I1863" s="29"/>
    </row>
    <row r="1864" spans="6:9" x14ac:dyDescent="0.3">
      <c r="F1864" s="29"/>
      <c r="G1864" s="29"/>
      <c r="H1864" s="28"/>
      <c r="I1864" s="29"/>
    </row>
    <row r="1865" spans="6:9" x14ac:dyDescent="0.3">
      <c r="F1865" s="29"/>
      <c r="G1865" s="29"/>
      <c r="H1865" s="28"/>
      <c r="I1865" s="29"/>
    </row>
    <row r="1866" spans="6:9" x14ac:dyDescent="0.3">
      <c r="F1866" s="29"/>
      <c r="G1866" s="29"/>
      <c r="H1866" s="28"/>
      <c r="I1866" s="29"/>
    </row>
    <row r="1867" spans="6:9" x14ac:dyDescent="0.3">
      <c r="F1867" s="29"/>
      <c r="G1867" s="29"/>
      <c r="H1867" s="28"/>
      <c r="I1867" s="29"/>
    </row>
    <row r="1868" spans="6:9" x14ac:dyDescent="0.3">
      <c r="F1868" s="29"/>
      <c r="G1868" s="29"/>
      <c r="H1868" s="28"/>
      <c r="I1868" s="29"/>
    </row>
    <row r="1869" spans="6:9" x14ac:dyDescent="0.3">
      <c r="F1869" s="29"/>
      <c r="G1869" s="29"/>
      <c r="H1869" s="28"/>
      <c r="I1869" s="29"/>
    </row>
    <row r="1870" spans="6:9" x14ac:dyDescent="0.3">
      <c r="F1870" s="29"/>
      <c r="G1870" s="29"/>
      <c r="H1870" s="28"/>
      <c r="I1870" s="29"/>
    </row>
    <row r="1871" spans="6:9" x14ac:dyDescent="0.3">
      <c r="F1871" s="29"/>
      <c r="G1871" s="29"/>
      <c r="H1871" s="28"/>
      <c r="I1871" s="29"/>
    </row>
    <row r="1872" spans="6:9" x14ac:dyDescent="0.3">
      <c r="F1872" s="29"/>
      <c r="G1872" s="29"/>
      <c r="H1872" s="28"/>
      <c r="I1872" s="29"/>
    </row>
    <row r="1873" spans="6:9" x14ac:dyDescent="0.3">
      <c r="F1873" s="29"/>
      <c r="G1873" s="29"/>
      <c r="H1873" s="28"/>
      <c r="I1873" s="29"/>
    </row>
    <row r="1874" spans="6:9" x14ac:dyDescent="0.3">
      <c r="F1874" s="29"/>
      <c r="G1874" s="29"/>
      <c r="H1874" s="28"/>
      <c r="I1874" s="29"/>
    </row>
    <row r="1875" spans="6:9" x14ac:dyDescent="0.3">
      <c r="F1875" s="29"/>
      <c r="G1875" s="29"/>
      <c r="H1875" s="28"/>
      <c r="I1875" s="29"/>
    </row>
    <row r="1876" spans="6:9" x14ac:dyDescent="0.3">
      <c r="F1876" s="29"/>
      <c r="G1876" s="29"/>
      <c r="H1876" s="28"/>
      <c r="I1876" s="29"/>
    </row>
    <row r="1877" spans="6:9" x14ac:dyDescent="0.3">
      <c r="F1877" s="29"/>
      <c r="G1877" s="29"/>
      <c r="H1877" s="28"/>
      <c r="I1877" s="29"/>
    </row>
    <row r="1878" spans="6:9" x14ac:dyDescent="0.3">
      <c r="F1878" s="29"/>
      <c r="G1878" s="29"/>
      <c r="H1878" s="28"/>
      <c r="I1878" s="29"/>
    </row>
    <row r="1879" spans="6:9" x14ac:dyDescent="0.3">
      <c r="F1879" s="29"/>
      <c r="G1879" s="29"/>
      <c r="H1879" s="28"/>
      <c r="I1879" s="29"/>
    </row>
    <row r="1880" spans="6:9" x14ac:dyDescent="0.3">
      <c r="F1880" s="29"/>
      <c r="G1880" s="29"/>
      <c r="H1880" s="28"/>
      <c r="I1880" s="29"/>
    </row>
    <row r="1881" spans="6:9" x14ac:dyDescent="0.3">
      <c r="F1881" s="29"/>
      <c r="G1881" s="29"/>
      <c r="H1881" s="28"/>
      <c r="I1881" s="29"/>
    </row>
    <row r="1882" spans="6:9" x14ac:dyDescent="0.3">
      <c r="F1882" s="29"/>
      <c r="G1882" s="29"/>
      <c r="H1882" s="28"/>
      <c r="I1882" s="29"/>
    </row>
    <row r="1883" spans="6:9" x14ac:dyDescent="0.3">
      <c r="F1883" s="29"/>
      <c r="G1883" s="29"/>
      <c r="H1883" s="28"/>
      <c r="I1883" s="29"/>
    </row>
    <row r="1884" spans="6:9" x14ac:dyDescent="0.3">
      <c r="F1884" s="29"/>
      <c r="G1884" s="29"/>
      <c r="H1884" s="28"/>
      <c r="I1884" s="29"/>
    </row>
    <row r="1885" spans="6:9" x14ac:dyDescent="0.3">
      <c r="F1885" s="29"/>
      <c r="G1885" s="29"/>
      <c r="H1885" s="28"/>
      <c r="I1885" s="29"/>
    </row>
    <row r="1886" spans="6:9" x14ac:dyDescent="0.3">
      <c r="F1886" s="29"/>
      <c r="G1886" s="29"/>
      <c r="H1886" s="28"/>
      <c r="I1886" s="29"/>
    </row>
    <row r="1887" spans="6:9" x14ac:dyDescent="0.3">
      <c r="F1887" s="29"/>
      <c r="G1887" s="29"/>
      <c r="H1887" s="28"/>
      <c r="I1887" s="29"/>
    </row>
    <row r="1888" spans="6:9" x14ac:dyDescent="0.3">
      <c r="F1888" s="29"/>
      <c r="G1888" s="29"/>
      <c r="H1888" s="28"/>
      <c r="I1888" s="29"/>
    </row>
    <row r="1889" spans="6:9" x14ac:dyDescent="0.3">
      <c r="F1889" s="29"/>
      <c r="G1889" s="29"/>
      <c r="H1889" s="28"/>
      <c r="I1889" s="29"/>
    </row>
    <row r="1890" spans="6:9" x14ac:dyDescent="0.3">
      <c r="F1890" s="29"/>
      <c r="G1890" s="29"/>
      <c r="H1890" s="28"/>
      <c r="I1890" s="29"/>
    </row>
    <row r="1891" spans="6:9" x14ac:dyDescent="0.3">
      <c r="F1891" s="29"/>
      <c r="G1891" s="29"/>
      <c r="H1891" s="28"/>
      <c r="I1891" s="29"/>
    </row>
    <row r="1892" spans="6:9" x14ac:dyDescent="0.3">
      <c r="F1892" s="29"/>
      <c r="G1892" s="29"/>
      <c r="H1892" s="28"/>
      <c r="I1892" s="29"/>
    </row>
    <row r="1893" spans="6:9" x14ac:dyDescent="0.3">
      <c r="F1893" s="29"/>
      <c r="G1893" s="29"/>
      <c r="H1893" s="28"/>
      <c r="I1893" s="29"/>
    </row>
    <row r="1894" spans="6:9" x14ac:dyDescent="0.3">
      <c r="F1894" s="29"/>
      <c r="G1894" s="29"/>
      <c r="H1894" s="28"/>
      <c r="I1894" s="29"/>
    </row>
    <row r="1895" spans="6:9" x14ac:dyDescent="0.3">
      <c r="F1895" s="29"/>
      <c r="G1895" s="29"/>
      <c r="H1895" s="28"/>
      <c r="I1895" s="29"/>
    </row>
    <row r="1896" spans="6:9" x14ac:dyDescent="0.3">
      <c r="F1896" s="29"/>
      <c r="G1896" s="29"/>
      <c r="H1896" s="28"/>
      <c r="I1896" s="29"/>
    </row>
    <row r="1897" spans="6:9" x14ac:dyDescent="0.3">
      <c r="F1897" s="29"/>
      <c r="G1897" s="29"/>
      <c r="H1897" s="28"/>
      <c r="I1897" s="29"/>
    </row>
    <row r="1898" spans="6:9" x14ac:dyDescent="0.3">
      <c r="F1898" s="29"/>
      <c r="G1898" s="29"/>
      <c r="H1898" s="28"/>
      <c r="I1898" s="29"/>
    </row>
    <row r="1899" spans="6:9" x14ac:dyDescent="0.3">
      <c r="F1899" s="29"/>
      <c r="G1899" s="29"/>
      <c r="H1899" s="28"/>
      <c r="I1899" s="29"/>
    </row>
    <row r="1900" spans="6:9" x14ac:dyDescent="0.3">
      <c r="F1900" s="29"/>
      <c r="G1900" s="29"/>
      <c r="H1900" s="28"/>
      <c r="I1900" s="29"/>
    </row>
    <row r="1901" spans="6:9" x14ac:dyDescent="0.3">
      <c r="F1901" s="29"/>
      <c r="G1901" s="29"/>
      <c r="H1901" s="28"/>
      <c r="I1901" s="29"/>
    </row>
    <row r="1902" spans="6:9" x14ac:dyDescent="0.3">
      <c r="F1902" s="29"/>
      <c r="G1902" s="29"/>
      <c r="H1902" s="28"/>
      <c r="I1902" s="29"/>
    </row>
    <row r="1903" spans="6:9" x14ac:dyDescent="0.3">
      <c r="F1903" s="29"/>
      <c r="G1903" s="29"/>
      <c r="H1903" s="28"/>
      <c r="I1903" s="29"/>
    </row>
    <row r="1904" spans="6:9" x14ac:dyDescent="0.3">
      <c r="F1904" s="29"/>
      <c r="G1904" s="29"/>
      <c r="H1904" s="28"/>
      <c r="I1904" s="29"/>
    </row>
    <row r="1905" spans="6:9" x14ac:dyDescent="0.3">
      <c r="F1905" s="29"/>
      <c r="G1905" s="29"/>
      <c r="H1905" s="28"/>
      <c r="I1905" s="29"/>
    </row>
    <row r="1906" spans="6:9" x14ac:dyDescent="0.3">
      <c r="F1906" s="29"/>
      <c r="G1906" s="29"/>
      <c r="H1906" s="28"/>
      <c r="I1906" s="29"/>
    </row>
    <row r="1907" spans="6:9" x14ac:dyDescent="0.3">
      <c r="F1907" s="29"/>
      <c r="G1907" s="29"/>
      <c r="H1907" s="28"/>
      <c r="I1907" s="29"/>
    </row>
    <row r="1908" spans="6:9" x14ac:dyDescent="0.3">
      <c r="F1908" s="29"/>
      <c r="G1908" s="29"/>
      <c r="H1908" s="28"/>
      <c r="I1908" s="29"/>
    </row>
    <row r="1909" spans="6:9" x14ac:dyDescent="0.3">
      <c r="F1909" s="29"/>
      <c r="G1909" s="29"/>
      <c r="H1909" s="28"/>
      <c r="I1909" s="29"/>
    </row>
    <row r="1910" spans="6:9" x14ac:dyDescent="0.3">
      <c r="F1910" s="29"/>
      <c r="G1910" s="29"/>
      <c r="H1910" s="28"/>
      <c r="I1910" s="29"/>
    </row>
    <row r="1911" spans="6:9" x14ac:dyDescent="0.3">
      <c r="F1911" s="29"/>
      <c r="G1911" s="29"/>
      <c r="H1911" s="28"/>
      <c r="I1911" s="29"/>
    </row>
    <row r="1912" spans="6:9" x14ac:dyDescent="0.3">
      <c r="F1912" s="29"/>
      <c r="G1912" s="29"/>
      <c r="H1912" s="28"/>
      <c r="I1912" s="29"/>
    </row>
    <row r="1913" spans="6:9" x14ac:dyDescent="0.3">
      <c r="F1913" s="29"/>
      <c r="G1913" s="29"/>
      <c r="H1913" s="28"/>
      <c r="I1913" s="29"/>
    </row>
    <row r="1914" spans="6:9" x14ac:dyDescent="0.3">
      <c r="F1914" s="29"/>
      <c r="G1914" s="29"/>
      <c r="H1914" s="28"/>
      <c r="I1914" s="29"/>
    </row>
    <row r="1915" spans="6:9" x14ac:dyDescent="0.3">
      <c r="F1915" s="29"/>
      <c r="G1915" s="29"/>
      <c r="H1915" s="28"/>
      <c r="I1915" s="29"/>
    </row>
    <row r="1916" spans="6:9" x14ac:dyDescent="0.3">
      <c r="F1916" s="29"/>
      <c r="G1916" s="29"/>
      <c r="H1916" s="28"/>
      <c r="I1916" s="29"/>
    </row>
    <row r="1917" spans="6:9" x14ac:dyDescent="0.3">
      <c r="F1917" s="29"/>
      <c r="G1917" s="29"/>
      <c r="H1917" s="28"/>
      <c r="I1917" s="29"/>
    </row>
    <row r="1918" spans="6:9" x14ac:dyDescent="0.3">
      <c r="F1918" s="29"/>
      <c r="G1918" s="29"/>
      <c r="H1918" s="28"/>
      <c r="I1918" s="29"/>
    </row>
    <row r="1919" spans="6:9" x14ac:dyDescent="0.3">
      <c r="F1919" s="29"/>
      <c r="G1919" s="29"/>
      <c r="H1919" s="28"/>
      <c r="I1919" s="29"/>
    </row>
    <row r="1920" spans="6:9" x14ac:dyDescent="0.3">
      <c r="F1920" s="29"/>
      <c r="G1920" s="29"/>
      <c r="H1920" s="28"/>
      <c r="I1920" s="29"/>
    </row>
    <row r="1921" spans="6:9" x14ac:dyDescent="0.3">
      <c r="F1921" s="29"/>
      <c r="G1921" s="29"/>
      <c r="H1921" s="28"/>
      <c r="I1921" s="29"/>
    </row>
    <row r="1922" spans="6:9" x14ac:dyDescent="0.3">
      <c r="F1922" s="29"/>
      <c r="G1922" s="29"/>
      <c r="H1922" s="28"/>
      <c r="I1922" s="29"/>
    </row>
    <row r="1923" spans="6:9" x14ac:dyDescent="0.3">
      <c r="F1923" s="29"/>
      <c r="G1923" s="29"/>
      <c r="H1923" s="28"/>
      <c r="I1923" s="29"/>
    </row>
    <row r="1924" spans="6:9" x14ac:dyDescent="0.3">
      <c r="F1924" s="29"/>
      <c r="G1924" s="29"/>
      <c r="H1924" s="28"/>
      <c r="I1924" s="29"/>
    </row>
    <row r="1925" spans="6:9" x14ac:dyDescent="0.3">
      <c r="F1925" s="29"/>
      <c r="G1925" s="29"/>
      <c r="H1925" s="28"/>
      <c r="I1925" s="29"/>
    </row>
    <row r="1926" spans="6:9" x14ac:dyDescent="0.3">
      <c r="F1926" s="29"/>
      <c r="G1926" s="29"/>
      <c r="H1926" s="28"/>
      <c r="I1926" s="29"/>
    </row>
    <row r="1927" spans="6:9" x14ac:dyDescent="0.3">
      <c r="F1927" s="29"/>
      <c r="G1927" s="29"/>
      <c r="H1927" s="28"/>
      <c r="I1927" s="29"/>
    </row>
    <row r="1928" spans="6:9" x14ac:dyDescent="0.3">
      <c r="F1928" s="29"/>
      <c r="G1928" s="29"/>
      <c r="H1928" s="28"/>
      <c r="I1928" s="29"/>
    </row>
    <row r="1929" spans="6:9" x14ac:dyDescent="0.3">
      <c r="F1929" s="29"/>
      <c r="G1929" s="29"/>
      <c r="H1929" s="28"/>
      <c r="I1929" s="29"/>
    </row>
    <row r="1930" spans="6:9" x14ac:dyDescent="0.3">
      <c r="F1930" s="29"/>
      <c r="G1930" s="29"/>
      <c r="H1930" s="28"/>
      <c r="I1930" s="29"/>
    </row>
    <row r="1931" spans="6:9" x14ac:dyDescent="0.3">
      <c r="F1931" s="29"/>
      <c r="G1931" s="29"/>
      <c r="H1931" s="28"/>
      <c r="I1931" s="29"/>
    </row>
    <row r="1932" spans="6:9" x14ac:dyDescent="0.3">
      <c r="F1932" s="29"/>
      <c r="G1932" s="29"/>
      <c r="H1932" s="28"/>
      <c r="I1932" s="29"/>
    </row>
    <row r="1933" spans="6:9" x14ac:dyDescent="0.3">
      <c r="F1933" s="29"/>
      <c r="G1933" s="29"/>
      <c r="H1933" s="28"/>
      <c r="I1933" s="29"/>
    </row>
    <row r="1934" spans="6:9" x14ac:dyDescent="0.3">
      <c r="F1934" s="29"/>
      <c r="G1934" s="29"/>
      <c r="H1934" s="28"/>
      <c r="I1934" s="29"/>
    </row>
    <row r="1935" spans="6:9" x14ac:dyDescent="0.3">
      <c r="F1935" s="29"/>
      <c r="G1935" s="29"/>
      <c r="H1935" s="28"/>
      <c r="I1935" s="29"/>
    </row>
    <row r="1936" spans="6:9" x14ac:dyDescent="0.3">
      <c r="F1936" s="29"/>
      <c r="G1936" s="29"/>
      <c r="H1936" s="28"/>
      <c r="I1936" s="29"/>
    </row>
    <row r="1937" spans="6:9" x14ac:dyDescent="0.3">
      <c r="F1937" s="29"/>
      <c r="G1937" s="29"/>
      <c r="H1937" s="28"/>
      <c r="I1937" s="29"/>
    </row>
    <row r="1938" spans="6:9" x14ac:dyDescent="0.3">
      <c r="F1938" s="29"/>
      <c r="G1938" s="29"/>
      <c r="H1938" s="28"/>
      <c r="I1938" s="29"/>
    </row>
    <row r="1939" spans="6:9" x14ac:dyDescent="0.3">
      <c r="F1939" s="29"/>
      <c r="G1939" s="29"/>
      <c r="H1939" s="28"/>
      <c r="I1939" s="29"/>
    </row>
    <row r="1940" spans="6:9" x14ac:dyDescent="0.3">
      <c r="F1940" s="29"/>
      <c r="G1940" s="29"/>
      <c r="H1940" s="28"/>
      <c r="I1940" s="29"/>
    </row>
    <row r="1941" spans="6:9" x14ac:dyDescent="0.3">
      <c r="F1941" s="29"/>
      <c r="G1941" s="29"/>
      <c r="H1941" s="28"/>
      <c r="I1941" s="29"/>
    </row>
    <row r="1942" spans="6:9" x14ac:dyDescent="0.3">
      <c r="F1942" s="29"/>
      <c r="G1942" s="29"/>
      <c r="H1942" s="28"/>
      <c r="I1942" s="29"/>
    </row>
    <row r="1943" spans="6:9" x14ac:dyDescent="0.3">
      <c r="F1943" s="29"/>
      <c r="G1943" s="29"/>
      <c r="H1943" s="28"/>
      <c r="I1943" s="29"/>
    </row>
    <row r="1944" spans="6:9" x14ac:dyDescent="0.3">
      <c r="F1944" s="29"/>
      <c r="G1944" s="29"/>
      <c r="H1944" s="28"/>
      <c r="I1944" s="29"/>
    </row>
    <row r="1945" spans="6:9" x14ac:dyDescent="0.3">
      <c r="F1945" s="29"/>
      <c r="G1945" s="29"/>
      <c r="H1945" s="28"/>
      <c r="I1945" s="29"/>
    </row>
    <row r="1946" spans="6:9" x14ac:dyDescent="0.3">
      <c r="F1946" s="29"/>
      <c r="G1946" s="29"/>
      <c r="H1946" s="28"/>
      <c r="I1946" s="29"/>
    </row>
    <row r="1947" spans="6:9" x14ac:dyDescent="0.3">
      <c r="F1947" s="29"/>
      <c r="G1947" s="29"/>
      <c r="H1947" s="28"/>
      <c r="I1947" s="29"/>
    </row>
    <row r="1948" spans="6:9" x14ac:dyDescent="0.3">
      <c r="F1948" s="29"/>
      <c r="G1948" s="29"/>
      <c r="H1948" s="28"/>
      <c r="I1948" s="29"/>
    </row>
    <row r="1949" spans="6:9" x14ac:dyDescent="0.3">
      <c r="F1949" s="29"/>
      <c r="G1949" s="29"/>
      <c r="H1949" s="28"/>
      <c r="I1949" s="29"/>
    </row>
    <row r="1950" spans="6:9" x14ac:dyDescent="0.3">
      <c r="F1950" s="29"/>
      <c r="G1950" s="29"/>
      <c r="H1950" s="28"/>
      <c r="I1950" s="29"/>
    </row>
    <row r="1951" spans="6:9" x14ac:dyDescent="0.3">
      <c r="F1951" s="29"/>
      <c r="G1951" s="29"/>
      <c r="H1951" s="28"/>
      <c r="I1951" s="29"/>
    </row>
    <row r="1952" spans="6:9" x14ac:dyDescent="0.3">
      <c r="F1952" s="29"/>
      <c r="G1952" s="29"/>
      <c r="H1952" s="28"/>
      <c r="I1952" s="29"/>
    </row>
    <row r="1953" spans="6:9" x14ac:dyDescent="0.3">
      <c r="F1953" s="29"/>
      <c r="G1953" s="29"/>
      <c r="H1953" s="28"/>
      <c r="I1953" s="29"/>
    </row>
    <row r="1954" spans="6:9" x14ac:dyDescent="0.3">
      <c r="F1954" s="29"/>
      <c r="G1954" s="29"/>
      <c r="H1954" s="28"/>
      <c r="I1954" s="29"/>
    </row>
    <row r="1955" spans="6:9" x14ac:dyDescent="0.3">
      <c r="F1955" s="29"/>
      <c r="G1955" s="29"/>
      <c r="H1955" s="28"/>
      <c r="I1955" s="29"/>
    </row>
    <row r="1956" spans="6:9" x14ac:dyDescent="0.3">
      <c r="F1956" s="29"/>
      <c r="G1956" s="29"/>
      <c r="H1956" s="28"/>
      <c r="I1956" s="29"/>
    </row>
    <row r="1957" spans="6:9" x14ac:dyDescent="0.3">
      <c r="F1957" s="29"/>
      <c r="G1957" s="29"/>
      <c r="H1957" s="28"/>
      <c r="I1957" s="29"/>
    </row>
    <row r="1958" spans="6:9" x14ac:dyDescent="0.3">
      <c r="F1958" s="29"/>
      <c r="G1958" s="29"/>
      <c r="H1958" s="28"/>
      <c r="I1958" s="29"/>
    </row>
    <row r="1959" spans="6:9" x14ac:dyDescent="0.3">
      <c r="F1959" s="29"/>
      <c r="G1959" s="29"/>
      <c r="H1959" s="28"/>
      <c r="I1959" s="29"/>
    </row>
    <row r="1960" spans="6:9" x14ac:dyDescent="0.3">
      <c r="F1960" s="29"/>
      <c r="G1960" s="29"/>
      <c r="H1960" s="28"/>
      <c r="I1960" s="29"/>
    </row>
    <row r="1961" spans="6:9" x14ac:dyDescent="0.3">
      <c r="F1961" s="29"/>
      <c r="G1961" s="29"/>
      <c r="H1961" s="28"/>
      <c r="I1961" s="29"/>
    </row>
    <row r="1962" spans="6:9" x14ac:dyDescent="0.3">
      <c r="F1962" s="29"/>
      <c r="G1962" s="29"/>
      <c r="H1962" s="28"/>
      <c r="I1962" s="29"/>
    </row>
    <row r="1963" spans="6:9" x14ac:dyDescent="0.3">
      <c r="F1963" s="29"/>
      <c r="G1963" s="29"/>
      <c r="H1963" s="28"/>
      <c r="I1963" s="29"/>
    </row>
    <row r="1964" spans="6:9" x14ac:dyDescent="0.3">
      <c r="F1964" s="29"/>
      <c r="G1964" s="29"/>
      <c r="H1964" s="28"/>
      <c r="I1964" s="29"/>
    </row>
    <row r="1965" spans="6:9" x14ac:dyDescent="0.3">
      <c r="F1965" s="29"/>
      <c r="G1965" s="29"/>
      <c r="H1965" s="28"/>
      <c r="I1965" s="29"/>
    </row>
    <row r="1966" spans="6:9" x14ac:dyDescent="0.3">
      <c r="F1966" s="29"/>
      <c r="G1966" s="29"/>
      <c r="H1966" s="28"/>
      <c r="I1966" s="29"/>
    </row>
    <row r="1967" spans="6:9" x14ac:dyDescent="0.3">
      <c r="F1967" s="29"/>
      <c r="G1967" s="29"/>
      <c r="H1967" s="28"/>
      <c r="I1967" s="29"/>
    </row>
    <row r="1968" spans="6:9" x14ac:dyDescent="0.3">
      <c r="F1968" s="29"/>
      <c r="G1968" s="29"/>
      <c r="H1968" s="28"/>
      <c r="I1968" s="29"/>
    </row>
    <row r="1969" spans="6:9" x14ac:dyDescent="0.3">
      <c r="F1969" s="29"/>
      <c r="G1969" s="29"/>
      <c r="H1969" s="28"/>
      <c r="I1969" s="29"/>
    </row>
    <row r="1970" spans="6:9" x14ac:dyDescent="0.3">
      <c r="F1970" s="29"/>
      <c r="G1970" s="29"/>
      <c r="H1970" s="28"/>
      <c r="I1970" s="29"/>
    </row>
    <row r="1971" spans="6:9" x14ac:dyDescent="0.3">
      <c r="F1971" s="29"/>
      <c r="G1971" s="29"/>
      <c r="H1971" s="28"/>
      <c r="I1971" s="29"/>
    </row>
    <row r="1972" spans="6:9" x14ac:dyDescent="0.3">
      <c r="F1972" s="29"/>
      <c r="G1972" s="29"/>
      <c r="H1972" s="28"/>
      <c r="I1972" s="29"/>
    </row>
    <row r="1973" spans="6:9" x14ac:dyDescent="0.3">
      <c r="F1973" s="29"/>
      <c r="G1973" s="29"/>
      <c r="H1973" s="28"/>
      <c r="I1973" s="29"/>
    </row>
    <row r="1974" spans="6:9" x14ac:dyDescent="0.3">
      <c r="F1974" s="29"/>
      <c r="G1974" s="29"/>
      <c r="H1974" s="28"/>
      <c r="I1974" s="29"/>
    </row>
    <row r="1975" spans="6:9" x14ac:dyDescent="0.3">
      <c r="F1975" s="29"/>
      <c r="G1975" s="29"/>
      <c r="H1975" s="28"/>
      <c r="I1975" s="29"/>
    </row>
    <row r="1976" spans="6:9" x14ac:dyDescent="0.3">
      <c r="F1976" s="29"/>
      <c r="G1976" s="29"/>
      <c r="H1976" s="28"/>
      <c r="I1976" s="29"/>
    </row>
    <row r="1977" spans="6:9" x14ac:dyDescent="0.3">
      <c r="F1977" s="29"/>
      <c r="G1977" s="29"/>
      <c r="H1977" s="28"/>
      <c r="I1977" s="29"/>
    </row>
    <row r="1978" spans="6:9" x14ac:dyDescent="0.3">
      <c r="F1978" s="29"/>
      <c r="G1978" s="29"/>
      <c r="H1978" s="28"/>
      <c r="I1978" s="29"/>
    </row>
    <row r="1979" spans="6:9" x14ac:dyDescent="0.3">
      <c r="F1979" s="29"/>
      <c r="G1979" s="29"/>
      <c r="H1979" s="28"/>
      <c r="I1979" s="29"/>
    </row>
    <row r="1980" spans="6:9" x14ac:dyDescent="0.3">
      <c r="F1980" s="29"/>
      <c r="G1980" s="29"/>
      <c r="H1980" s="28"/>
      <c r="I1980" s="29"/>
    </row>
    <row r="1981" spans="6:9" x14ac:dyDescent="0.3">
      <c r="F1981" s="29"/>
      <c r="G1981" s="29"/>
      <c r="H1981" s="28"/>
      <c r="I1981" s="29"/>
    </row>
    <row r="1982" spans="6:9" x14ac:dyDescent="0.3">
      <c r="F1982" s="29"/>
      <c r="G1982" s="29"/>
      <c r="H1982" s="28"/>
      <c r="I1982" s="29"/>
    </row>
    <row r="1983" spans="6:9" x14ac:dyDescent="0.3">
      <c r="F1983" s="29"/>
      <c r="G1983" s="29"/>
      <c r="H1983" s="28"/>
      <c r="I1983" s="29"/>
    </row>
    <row r="1984" spans="6:9" x14ac:dyDescent="0.3">
      <c r="F1984" s="29"/>
      <c r="G1984" s="29"/>
      <c r="H1984" s="28"/>
      <c r="I1984" s="29"/>
    </row>
    <row r="1985" spans="6:9" x14ac:dyDescent="0.3">
      <c r="F1985" s="29"/>
      <c r="G1985" s="29"/>
      <c r="H1985" s="28"/>
      <c r="I1985" s="29"/>
    </row>
    <row r="1986" spans="6:9" x14ac:dyDescent="0.3">
      <c r="F1986" s="29"/>
      <c r="G1986" s="29"/>
      <c r="H1986" s="28"/>
      <c r="I1986" s="29"/>
    </row>
    <row r="1987" spans="6:9" x14ac:dyDescent="0.3">
      <c r="F1987" s="29"/>
      <c r="G1987" s="29"/>
      <c r="H1987" s="28"/>
      <c r="I1987" s="29"/>
    </row>
    <row r="1988" spans="6:9" x14ac:dyDescent="0.3">
      <c r="F1988" s="29"/>
      <c r="G1988" s="29"/>
      <c r="H1988" s="28"/>
      <c r="I1988" s="29"/>
    </row>
    <row r="1989" spans="6:9" x14ac:dyDescent="0.3">
      <c r="F1989" s="29"/>
      <c r="G1989" s="29"/>
      <c r="H1989" s="28"/>
      <c r="I1989" s="29"/>
    </row>
    <row r="1990" spans="6:9" x14ac:dyDescent="0.3">
      <c r="F1990" s="29"/>
      <c r="G1990" s="29"/>
      <c r="H1990" s="28"/>
      <c r="I1990" s="29"/>
    </row>
    <row r="1991" spans="6:9" x14ac:dyDescent="0.3">
      <c r="F1991" s="29"/>
      <c r="G1991" s="29"/>
      <c r="H1991" s="28"/>
      <c r="I1991" s="29"/>
    </row>
    <row r="1992" spans="6:9" x14ac:dyDescent="0.3">
      <c r="F1992" s="29"/>
      <c r="G1992" s="29"/>
      <c r="H1992" s="28"/>
      <c r="I1992" s="29"/>
    </row>
    <row r="1993" spans="6:9" x14ac:dyDescent="0.3">
      <c r="F1993" s="29"/>
      <c r="G1993" s="29"/>
      <c r="H1993" s="28"/>
      <c r="I1993" s="29"/>
    </row>
    <row r="1994" spans="6:9" x14ac:dyDescent="0.3">
      <c r="F1994" s="29"/>
      <c r="G1994" s="29"/>
      <c r="H1994" s="28"/>
      <c r="I1994" s="29"/>
    </row>
    <row r="1995" spans="6:9" x14ac:dyDescent="0.3">
      <c r="F1995" s="29"/>
      <c r="G1995" s="29"/>
      <c r="H1995" s="28"/>
      <c r="I1995" s="29"/>
    </row>
    <row r="1996" spans="6:9" x14ac:dyDescent="0.3">
      <c r="F1996" s="29"/>
      <c r="G1996" s="29"/>
      <c r="H1996" s="28"/>
      <c r="I1996" s="29"/>
    </row>
    <row r="1997" spans="6:9" x14ac:dyDescent="0.3">
      <c r="F1997" s="29"/>
      <c r="G1997" s="29"/>
      <c r="H1997" s="28"/>
      <c r="I1997" s="29"/>
    </row>
    <row r="1998" spans="6:9" x14ac:dyDescent="0.3">
      <c r="F1998" s="29"/>
      <c r="G1998" s="29"/>
      <c r="H1998" s="28"/>
      <c r="I1998" s="29"/>
    </row>
    <row r="1999" spans="6:9" x14ac:dyDescent="0.3">
      <c r="F1999" s="29"/>
      <c r="G1999" s="29"/>
      <c r="H1999" s="28"/>
      <c r="I1999" s="29"/>
    </row>
    <row r="2000" spans="6:9" x14ac:dyDescent="0.3">
      <c r="F2000" s="29"/>
      <c r="G2000" s="29"/>
      <c r="H2000" s="28"/>
      <c r="I2000" s="29"/>
    </row>
    <row r="2001" spans="6:9" x14ac:dyDescent="0.3">
      <c r="F2001" s="29"/>
      <c r="G2001" s="29"/>
      <c r="H2001" s="28"/>
      <c r="I2001" s="29"/>
    </row>
    <row r="2002" spans="6:9" x14ac:dyDescent="0.3">
      <c r="F2002" s="29"/>
      <c r="G2002" s="29"/>
      <c r="H2002" s="28"/>
      <c r="I2002" s="29"/>
    </row>
    <row r="2003" spans="6:9" x14ac:dyDescent="0.3">
      <c r="F2003" s="29"/>
      <c r="G2003" s="29"/>
      <c r="H2003" s="28"/>
      <c r="I2003" s="29"/>
    </row>
    <row r="2004" spans="6:9" x14ac:dyDescent="0.3">
      <c r="F2004" s="29"/>
      <c r="G2004" s="29"/>
      <c r="H2004" s="28"/>
      <c r="I2004" s="29"/>
    </row>
    <row r="2005" spans="6:9" x14ac:dyDescent="0.3">
      <c r="F2005" s="29"/>
      <c r="G2005" s="29"/>
      <c r="H2005" s="28"/>
      <c r="I2005" s="29"/>
    </row>
    <row r="2006" spans="6:9" x14ac:dyDescent="0.3">
      <c r="F2006" s="29"/>
      <c r="G2006" s="29"/>
      <c r="H2006" s="28"/>
      <c r="I2006" s="29"/>
    </row>
    <row r="2007" spans="6:9" x14ac:dyDescent="0.3">
      <c r="F2007" s="29"/>
      <c r="G2007" s="29"/>
      <c r="H2007" s="28"/>
      <c r="I2007" s="29"/>
    </row>
    <row r="2008" spans="6:9" x14ac:dyDescent="0.3">
      <c r="F2008" s="29"/>
      <c r="G2008" s="29"/>
      <c r="H2008" s="28"/>
      <c r="I2008" s="29"/>
    </row>
    <row r="2009" spans="6:9" x14ac:dyDescent="0.3">
      <c r="F2009" s="29"/>
      <c r="G2009" s="29"/>
      <c r="H2009" s="28"/>
      <c r="I2009" s="29"/>
    </row>
    <row r="2010" spans="6:9" x14ac:dyDescent="0.3">
      <c r="F2010" s="29"/>
      <c r="G2010" s="29"/>
      <c r="H2010" s="28"/>
      <c r="I2010" s="29"/>
    </row>
    <row r="2011" spans="6:9" x14ac:dyDescent="0.3">
      <c r="F2011" s="29"/>
      <c r="G2011" s="29"/>
      <c r="H2011" s="28"/>
      <c r="I2011" s="29"/>
    </row>
    <row r="2012" spans="6:9" x14ac:dyDescent="0.3">
      <c r="F2012" s="29"/>
      <c r="G2012" s="29"/>
      <c r="H2012" s="28"/>
      <c r="I2012" s="29"/>
    </row>
    <row r="2013" spans="6:9" x14ac:dyDescent="0.3">
      <c r="F2013" s="29"/>
      <c r="G2013" s="29"/>
      <c r="H2013" s="28"/>
      <c r="I2013" s="29"/>
    </row>
    <row r="2014" spans="6:9" x14ac:dyDescent="0.3">
      <c r="F2014" s="29"/>
      <c r="G2014" s="29"/>
      <c r="H2014" s="28"/>
      <c r="I2014" s="29"/>
    </row>
    <row r="2015" spans="6:9" x14ac:dyDescent="0.3">
      <c r="F2015" s="29"/>
      <c r="G2015" s="29"/>
      <c r="H2015" s="28"/>
      <c r="I2015" s="29"/>
    </row>
    <row r="2016" spans="6:9" x14ac:dyDescent="0.3">
      <c r="F2016" s="29"/>
      <c r="G2016" s="29"/>
      <c r="H2016" s="28"/>
      <c r="I2016" s="29"/>
    </row>
    <row r="2017" spans="6:9" x14ac:dyDescent="0.3">
      <c r="F2017" s="29"/>
      <c r="G2017" s="29"/>
      <c r="H2017" s="28"/>
      <c r="I2017" s="29"/>
    </row>
    <row r="2018" spans="6:9" x14ac:dyDescent="0.3">
      <c r="F2018" s="29"/>
      <c r="G2018" s="29"/>
      <c r="H2018" s="28"/>
      <c r="I2018" s="29"/>
    </row>
    <row r="2019" spans="6:9" x14ac:dyDescent="0.3">
      <c r="F2019" s="29"/>
      <c r="G2019" s="29"/>
      <c r="H2019" s="28"/>
      <c r="I2019" s="29"/>
    </row>
    <row r="2020" spans="6:9" x14ac:dyDescent="0.3">
      <c r="F2020" s="29"/>
      <c r="G2020" s="29"/>
      <c r="H2020" s="28"/>
      <c r="I2020" s="29"/>
    </row>
    <row r="2021" spans="6:9" x14ac:dyDescent="0.3">
      <c r="F2021" s="29"/>
      <c r="G2021" s="29"/>
      <c r="H2021" s="28"/>
      <c r="I2021" s="29"/>
    </row>
    <row r="2022" spans="6:9" x14ac:dyDescent="0.3">
      <c r="F2022" s="29"/>
      <c r="G2022" s="29"/>
      <c r="H2022" s="28"/>
      <c r="I2022" s="29"/>
    </row>
    <row r="2023" spans="6:9" x14ac:dyDescent="0.3">
      <c r="F2023" s="29"/>
      <c r="G2023" s="29"/>
      <c r="H2023" s="28"/>
      <c r="I2023" s="29"/>
    </row>
    <row r="2024" spans="6:9" x14ac:dyDescent="0.3">
      <c r="F2024" s="29"/>
      <c r="G2024" s="29"/>
      <c r="H2024" s="28"/>
      <c r="I2024" s="29"/>
    </row>
    <row r="2025" spans="6:9" x14ac:dyDescent="0.3">
      <c r="F2025" s="29"/>
      <c r="G2025" s="29"/>
      <c r="H2025" s="28"/>
      <c r="I2025" s="29"/>
    </row>
    <row r="2026" spans="6:9" x14ac:dyDescent="0.3">
      <c r="F2026" s="29"/>
      <c r="G2026" s="29"/>
      <c r="H2026" s="28"/>
      <c r="I2026" s="29"/>
    </row>
    <row r="2027" spans="6:9" x14ac:dyDescent="0.3">
      <c r="F2027" s="29"/>
      <c r="G2027" s="29"/>
      <c r="H2027" s="28"/>
      <c r="I2027" s="29"/>
    </row>
    <row r="2028" spans="6:9" x14ac:dyDescent="0.3">
      <c r="F2028" s="29"/>
      <c r="G2028" s="29"/>
      <c r="H2028" s="28"/>
      <c r="I2028" s="29"/>
    </row>
    <row r="2029" spans="6:9" x14ac:dyDescent="0.3">
      <c r="F2029" s="29"/>
      <c r="G2029" s="29"/>
      <c r="H2029" s="28"/>
      <c r="I2029" s="29"/>
    </row>
    <row r="2030" spans="6:9" x14ac:dyDescent="0.3">
      <c r="F2030" s="29"/>
      <c r="G2030" s="29"/>
      <c r="H2030" s="28"/>
      <c r="I2030" s="29"/>
    </row>
    <row r="2031" spans="6:9" x14ac:dyDescent="0.3">
      <c r="F2031" s="29"/>
      <c r="G2031" s="29"/>
      <c r="H2031" s="28"/>
      <c r="I2031" s="29"/>
    </row>
    <row r="2032" spans="6:9" x14ac:dyDescent="0.3">
      <c r="F2032" s="29"/>
      <c r="G2032" s="29"/>
      <c r="H2032" s="28"/>
      <c r="I2032" s="29"/>
    </row>
    <row r="2033" spans="6:9" x14ac:dyDescent="0.3">
      <c r="F2033" s="29"/>
      <c r="G2033" s="29"/>
      <c r="H2033" s="28"/>
      <c r="I2033" s="29"/>
    </row>
    <row r="2034" spans="6:9" x14ac:dyDescent="0.3">
      <c r="F2034" s="29"/>
      <c r="G2034" s="29"/>
      <c r="H2034" s="28"/>
      <c r="I2034" s="29"/>
    </row>
    <row r="2035" spans="6:9" x14ac:dyDescent="0.3">
      <c r="F2035" s="29"/>
      <c r="G2035" s="29"/>
      <c r="H2035" s="28"/>
      <c r="I2035" s="29"/>
    </row>
    <row r="2036" spans="6:9" x14ac:dyDescent="0.3">
      <c r="F2036" s="29"/>
      <c r="G2036" s="29"/>
      <c r="H2036" s="28"/>
      <c r="I2036" s="29"/>
    </row>
    <row r="2037" spans="6:9" x14ac:dyDescent="0.3">
      <c r="F2037" s="29"/>
      <c r="G2037" s="29"/>
      <c r="H2037" s="28"/>
      <c r="I2037" s="29"/>
    </row>
    <row r="2038" spans="6:9" x14ac:dyDescent="0.3">
      <c r="F2038" s="29"/>
      <c r="G2038" s="29"/>
      <c r="H2038" s="28"/>
      <c r="I2038" s="29"/>
    </row>
    <row r="2039" spans="6:9" x14ac:dyDescent="0.3">
      <c r="F2039" s="29"/>
      <c r="G2039" s="29"/>
      <c r="H2039" s="28"/>
      <c r="I2039" s="29"/>
    </row>
    <row r="2040" spans="6:9" x14ac:dyDescent="0.3">
      <c r="F2040" s="29"/>
      <c r="G2040" s="29"/>
      <c r="H2040" s="28"/>
      <c r="I2040" s="29"/>
    </row>
    <row r="2041" spans="6:9" x14ac:dyDescent="0.3">
      <c r="F2041" s="29"/>
      <c r="G2041" s="29"/>
      <c r="H2041" s="28"/>
      <c r="I2041" s="29"/>
    </row>
    <row r="2042" spans="6:9" x14ac:dyDescent="0.3">
      <c r="F2042" s="29"/>
      <c r="G2042" s="29"/>
      <c r="H2042" s="28"/>
      <c r="I2042" s="29"/>
    </row>
    <row r="2043" spans="6:9" x14ac:dyDescent="0.3">
      <c r="F2043" s="29"/>
      <c r="G2043" s="29"/>
      <c r="H2043" s="28"/>
      <c r="I2043" s="29"/>
    </row>
    <row r="2044" spans="6:9" x14ac:dyDescent="0.3">
      <c r="F2044" s="29"/>
      <c r="G2044" s="29"/>
      <c r="H2044" s="28"/>
      <c r="I2044" s="29"/>
    </row>
    <row r="2045" spans="6:9" x14ac:dyDescent="0.3">
      <c r="F2045" s="29"/>
      <c r="G2045" s="29"/>
      <c r="H2045" s="28"/>
      <c r="I2045" s="29"/>
    </row>
    <row r="2046" spans="6:9" x14ac:dyDescent="0.3">
      <c r="F2046" s="29"/>
      <c r="G2046" s="29"/>
      <c r="H2046" s="28"/>
      <c r="I2046" s="29"/>
    </row>
    <row r="2047" spans="6:9" x14ac:dyDescent="0.3">
      <c r="F2047" s="29"/>
      <c r="G2047" s="29"/>
      <c r="H2047" s="28"/>
      <c r="I2047" s="29"/>
    </row>
    <row r="2048" spans="6:9" x14ac:dyDescent="0.3">
      <c r="F2048" s="29"/>
      <c r="G2048" s="29"/>
      <c r="H2048" s="28"/>
      <c r="I2048" s="29"/>
    </row>
    <row r="2049" spans="6:9" x14ac:dyDescent="0.3">
      <c r="F2049" s="29"/>
      <c r="G2049" s="29"/>
      <c r="H2049" s="28"/>
      <c r="I2049" s="29"/>
    </row>
    <row r="2050" spans="6:9" x14ac:dyDescent="0.3">
      <c r="F2050" s="29"/>
      <c r="G2050" s="29"/>
      <c r="H2050" s="28"/>
      <c r="I2050" s="29"/>
    </row>
    <row r="2051" spans="6:9" x14ac:dyDescent="0.3">
      <c r="F2051" s="29"/>
      <c r="G2051" s="29"/>
      <c r="H2051" s="28"/>
      <c r="I2051" s="29"/>
    </row>
    <row r="2052" spans="6:9" x14ac:dyDescent="0.3">
      <c r="F2052" s="29"/>
      <c r="G2052" s="29"/>
      <c r="H2052" s="28"/>
      <c r="I2052" s="29"/>
    </row>
    <row r="2053" spans="6:9" x14ac:dyDescent="0.3">
      <c r="F2053" s="29"/>
      <c r="G2053" s="29"/>
      <c r="H2053" s="28"/>
      <c r="I2053" s="29"/>
    </row>
    <row r="2054" spans="6:9" x14ac:dyDescent="0.3">
      <c r="F2054" s="29"/>
      <c r="G2054" s="29"/>
      <c r="H2054" s="28"/>
      <c r="I2054" s="29"/>
    </row>
    <row r="2055" spans="6:9" x14ac:dyDescent="0.3">
      <c r="F2055" s="29"/>
      <c r="G2055" s="29"/>
      <c r="H2055" s="28"/>
      <c r="I2055" s="29"/>
    </row>
    <row r="2056" spans="6:9" x14ac:dyDescent="0.3">
      <c r="F2056" s="29"/>
      <c r="G2056" s="29"/>
      <c r="H2056" s="28"/>
      <c r="I2056" s="29"/>
    </row>
    <row r="2057" spans="6:9" x14ac:dyDescent="0.3">
      <c r="F2057" s="29"/>
      <c r="G2057" s="29"/>
      <c r="H2057" s="28"/>
      <c r="I2057" s="29"/>
    </row>
    <row r="2058" spans="6:9" x14ac:dyDescent="0.3">
      <c r="F2058" s="29"/>
      <c r="G2058" s="29"/>
      <c r="H2058" s="28"/>
      <c r="I2058" s="29"/>
    </row>
    <row r="2059" spans="6:9" x14ac:dyDescent="0.3">
      <c r="F2059" s="29"/>
      <c r="G2059" s="29"/>
      <c r="H2059" s="28"/>
      <c r="I2059" s="29"/>
    </row>
    <row r="2060" spans="6:9" x14ac:dyDescent="0.3">
      <c r="F2060" s="29"/>
      <c r="G2060" s="29"/>
      <c r="H2060" s="28"/>
      <c r="I2060" s="29"/>
    </row>
    <row r="2061" spans="6:9" x14ac:dyDescent="0.3">
      <c r="F2061" s="29"/>
      <c r="G2061" s="29"/>
      <c r="H2061" s="28"/>
      <c r="I2061" s="29"/>
    </row>
    <row r="2062" spans="6:9" x14ac:dyDescent="0.3">
      <c r="F2062" s="29"/>
      <c r="G2062" s="29"/>
      <c r="H2062" s="28"/>
      <c r="I2062" s="29"/>
    </row>
    <row r="2063" spans="6:9" x14ac:dyDescent="0.3">
      <c r="F2063" s="29"/>
      <c r="G2063" s="29"/>
      <c r="H2063" s="28"/>
      <c r="I2063" s="29"/>
    </row>
    <row r="2064" spans="6:9" x14ac:dyDescent="0.3">
      <c r="F2064" s="29"/>
      <c r="G2064" s="29"/>
      <c r="H2064" s="28"/>
      <c r="I2064" s="29"/>
    </row>
    <row r="2065" spans="6:9" x14ac:dyDescent="0.3">
      <c r="F2065" s="29"/>
      <c r="G2065" s="29"/>
      <c r="H2065" s="28"/>
      <c r="I2065" s="29"/>
    </row>
    <row r="2066" spans="6:9" x14ac:dyDescent="0.3">
      <c r="F2066" s="29"/>
      <c r="G2066" s="29"/>
      <c r="H2066" s="28"/>
      <c r="I2066" s="29"/>
    </row>
    <row r="2067" spans="6:9" x14ac:dyDescent="0.3">
      <c r="F2067" s="29"/>
      <c r="G2067" s="29"/>
      <c r="H2067" s="28"/>
      <c r="I2067" s="29"/>
    </row>
    <row r="2068" spans="6:9" x14ac:dyDescent="0.3">
      <c r="F2068" s="29"/>
      <c r="G2068" s="29"/>
      <c r="H2068" s="28"/>
      <c r="I2068" s="29"/>
    </row>
    <row r="2069" spans="6:9" x14ac:dyDescent="0.3">
      <c r="F2069" s="29"/>
      <c r="G2069" s="29"/>
      <c r="H2069" s="28"/>
      <c r="I2069" s="29"/>
    </row>
    <row r="2070" spans="6:9" x14ac:dyDescent="0.3">
      <c r="F2070" s="29"/>
      <c r="G2070" s="29"/>
      <c r="H2070" s="28"/>
      <c r="I2070" s="29"/>
    </row>
    <row r="2071" spans="6:9" x14ac:dyDescent="0.3">
      <c r="F2071" s="29"/>
      <c r="G2071" s="29"/>
      <c r="H2071" s="28"/>
      <c r="I2071" s="29"/>
    </row>
    <row r="2072" spans="6:9" x14ac:dyDescent="0.3">
      <c r="F2072" s="29"/>
      <c r="G2072" s="29"/>
      <c r="H2072" s="28"/>
      <c r="I2072" s="29"/>
    </row>
    <row r="2073" spans="6:9" x14ac:dyDescent="0.3">
      <c r="F2073" s="29"/>
      <c r="G2073" s="29"/>
      <c r="H2073" s="28"/>
      <c r="I2073" s="29"/>
    </row>
    <row r="2074" spans="6:9" x14ac:dyDescent="0.3">
      <c r="F2074" s="29"/>
      <c r="G2074" s="29"/>
      <c r="H2074" s="28"/>
      <c r="I2074" s="29"/>
    </row>
    <row r="2075" spans="6:9" x14ac:dyDescent="0.3">
      <c r="F2075" s="29"/>
      <c r="G2075" s="29"/>
      <c r="H2075" s="28"/>
      <c r="I2075" s="29"/>
    </row>
    <row r="2076" spans="6:9" x14ac:dyDescent="0.3">
      <c r="F2076" s="29"/>
      <c r="G2076" s="29"/>
      <c r="H2076" s="28"/>
      <c r="I2076" s="29"/>
    </row>
    <row r="2077" spans="6:9" x14ac:dyDescent="0.3">
      <c r="F2077" s="29"/>
      <c r="G2077" s="29"/>
      <c r="H2077" s="28"/>
      <c r="I2077" s="29"/>
    </row>
    <row r="2078" spans="6:9" x14ac:dyDescent="0.3">
      <c r="F2078" s="29"/>
      <c r="G2078" s="29"/>
      <c r="H2078" s="28"/>
      <c r="I2078" s="29"/>
    </row>
    <row r="2079" spans="6:9" x14ac:dyDescent="0.3">
      <c r="F2079" s="29"/>
      <c r="G2079" s="29"/>
      <c r="H2079" s="28"/>
      <c r="I2079" s="29"/>
    </row>
    <row r="2080" spans="6:9" x14ac:dyDescent="0.3">
      <c r="F2080" s="29"/>
      <c r="G2080" s="29"/>
      <c r="H2080" s="28"/>
      <c r="I2080" s="29"/>
    </row>
    <row r="2081" spans="6:9" x14ac:dyDescent="0.3">
      <c r="F2081" s="29"/>
      <c r="G2081" s="29"/>
      <c r="H2081" s="28"/>
      <c r="I2081" s="29"/>
    </row>
    <row r="2082" spans="6:9" x14ac:dyDescent="0.3">
      <c r="F2082" s="29"/>
      <c r="G2082" s="29"/>
      <c r="H2082" s="28"/>
      <c r="I2082" s="29"/>
    </row>
    <row r="2083" spans="6:9" x14ac:dyDescent="0.3">
      <c r="F2083" s="29"/>
      <c r="G2083" s="29"/>
      <c r="H2083" s="28"/>
      <c r="I2083" s="29"/>
    </row>
    <row r="2084" spans="6:9" x14ac:dyDescent="0.3">
      <c r="F2084" s="29"/>
      <c r="G2084" s="29"/>
      <c r="H2084" s="28"/>
      <c r="I2084" s="29"/>
    </row>
    <row r="2085" spans="6:9" x14ac:dyDescent="0.3">
      <c r="F2085" s="29"/>
      <c r="G2085" s="29"/>
      <c r="H2085" s="28"/>
      <c r="I2085" s="29"/>
    </row>
    <row r="2086" spans="6:9" x14ac:dyDescent="0.3">
      <c r="F2086" s="29"/>
      <c r="G2086" s="29"/>
      <c r="H2086" s="28"/>
      <c r="I2086" s="29"/>
    </row>
    <row r="2087" spans="6:9" x14ac:dyDescent="0.3">
      <c r="F2087" s="29"/>
      <c r="G2087" s="29"/>
      <c r="H2087" s="28"/>
      <c r="I2087" s="29"/>
    </row>
    <row r="2088" spans="6:9" x14ac:dyDescent="0.3">
      <c r="F2088" s="29"/>
      <c r="G2088" s="29"/>
      <c r="H2088" s="28"/>
      <c r="I2088" s="29"/>
    </row>
    <row r="2089" spans="6:9" x14ac:dyDescent="0.3">
      <c r="F2089" s="29"/>
      <c r="G2089" s="29"/>
      <c r="H2089" s="28"/>
      <c r="I2089" s="29"/>
    </row>
    <row r="2090" spans="6:9" x14ac:dyDescent="0.3">
      <c r="F2090" s="29"/>
      <c r="G2090" s="29"/>
      <c r="H2090" s="28"/>
      <c r="I2090" s="29"/>
    </row>
    <row r="2091" spans="6:9" x14ac:dyDescent="0.3">
      <c r="F2091" s="29"/>
      <c r="G2091" s="29"/>
      <c r="H2091" s="28"/>
      <c r="I2091" s="29"/>
    </row>
    <row r="2092" spans="6:9" x14ac:dyDescent="0.3">
      <c r="F2092" s="29"/>
      <c r="G2092" s="29"/>
      <c r="H2092" s="28"/>
      <c r="I2092" s="29"/>
    </row>
    <row r="2093" spans="6:9" x14ac:dyDescent="0.3">
      <c r="F2093" s="29"/>
      <c r="G2093" s="29"/>
      <c r="H2093" s="28"/>
      <c r="I2093" s="29"/>
    </row>
    <row r="2094" spans="6:9" x14ac:dyDescent="0.3">
      <c r="F2094" s="29"/>
      <c r="G2094" s="29"/>
      <c r="H2094" s="28"/>
      <c r="I2094" s="29"/>
    </row>
    <row r="2095" spans="6:9" x14ac:dyDescent="0.3">
      <c r="F2095" s="29"/>
      <c r="G2095" s="29"/>
      <c r="H2095" s="28"/>
      <c r="I2095" s="29"/>
    </row>
    <row r="2096" spans="6:9" x14ac:dyDescent="0.3">
      <c r="F2096" s="29"/>
      <c r="G2096" s="29"/>
      <c r="H2096" s="28"/>
      <c r="I2096" s="29"/>
    </row>
    <row r="2097" spans="6:9" x14ac:dyDescent="0.3">
      <c r="F2097" s="29"/>
      <c r="G2097" s="29"/>
      <c r="H2097" s="28"/>
      <c r="I2097" s="29"/>
    </row>
    <row r="2098" spans="6:9" x14ac:dyDescent="0.3">
      <c r="F2098" s="29"/>
      <c r="G2098" s="29"/>
      <c r="H2098" s="28"/>
      <c r="I2098" s="29"/>
    </row>
    <row r="2099" spans="6:9" x14ac:dyDescent="0.3">
      <c r="F2099" s="29"/>
      <c r="G2099" s="29"/>
      <c r="H2099" s="28"/>
      <c r="I2099" s="29"/>
    </row>
    <row r="2100" spans="6:9" x14ac:dyDescent="0.3">
      <c r="F2100" s="29"/>
      <c r="G2100" s="29"/>
      <c r="H2100" s="28"/>
      <c r="I2100" s="29"/>
    </row>
    <row r="2101" spans="6:9" x14ac:dyDescent="0.3">
      <c r="F2101" s="29"/>
      <c r="G2101" s="29"/>
      <c r="H2101" s="28"/>
      <c r="I2101" s="29"/>
    </row>
    <row r="2102" spans="6:9" x14ac:dyDescent="0.3">
      <c r="F2102" s="29"/>
      <c r="G2102" s="29"/>
      <c r="H2102" s="28"/>
      <c r="I2102" s="29"/>
    </row>
    <row r="2103" spans="6:9" x14ac:dyDescent="0.3">
      <c r="F2103" s="29"/>
      <c r="G2103" s="29"/>
      <c r="H2103" s="28"/>
      <c r="I2103" s="29"/>
    </row>
    <row r="2104" spans="6:9" x14ac:dyDescent="0.3">
      <c r="F2104" s="29"/>
      <c r="G2104" s="29"/>
      <c r="H2104" s="28"/>
      <c r="I2104" s="29"/>
    </row>
    <row r="2105" spans="6:9" x14ac:dyDescent="0.3">
      <c r="F2105" s="29"/>
      <c r="G2105" s="29"/>
      <c r="H2105" s="28"/>
      <c r="I2105" s="29"/>
    </row>
    <row r="2106" spans="6:9" x14ac:dyDescent="0.3">
      <c r="F2106" s="29"/>
      <c r="G2106" s="29"/>
      <c r="H2106" s="28"/>
      <c r="I2106" s="29"/>
    </row>
    <row r="2107" spans="6:9" x14ac:dyDescent="0.3">
      <c r="F2107" s="29"/>
      <c r="G2107" s="29"/>
      <c r="H2107" s="28"/>
      <c r="I2107" s="29"/>
    </row>
    <row r="2108" spans="6:9" x14ac:dyDescent="0.3">
      <c r="F2108" s="29"/>
      <c r="G2108" s="29"/>
      <c r="H2108" s="28"/>
      <c r="I2108" s="29"/>
    </row>
    <row r="2109" spans="6:9" x14ac:dyDescent="0.3">
      <c r="F2109" s="29"/>
      <c r="G2109" s="29"/>
      <c r="H2109" s="28"/>
      <c r="I2109" s="29"/>
    </row>
    <row r="2110" spans="6:9" x14ac:dyDescent="0.3">
      <c r="F2110" s="29"/>
      <c r="G2110" s="29"/>
      <c r="H2110" s="28"/>
      <c r="I2110" s="29"/>
    </row>
    <row r="2111" spans="6:9" x14ac:dyDescent="0.3">
      <c r="F2111" s="29"/>
      <c r="G2111" s="29"/>
      <c r="H2111" s="28"/>
      <c r="I2111" s="29"/>
    </row>
    <row r="2112" spans="6:9" x14ac:dyDescent="0.3">
      <c r="F2112" s="29"/>
      <c r="G2112" s="29"/>
      <c r="H2112" s="28"/>
      <c r="I2112" s="29"/>
    </row>
    <row r="2113" spans="6:9" x14ac:dyDescent="0.3">
      <c r="F2113" s="29"/>
      <c r="G2113" s="29"/>
      <c r="H2113" s="28"/>
      <c r="I2113" s="29"/>
    </row>
    <row r="2114" spans="6:9" x14ac:dyDescent="0.3">
      <c r="F2114" s="29"/>
      <c r="G2114" s="29"/>
      <c r="H2114" s="28"/>
      <c r="I2114" s="29"/>
    </row>
    <row r="2115" spans="6:9" x14ac:dyDescent="0.3">
      <c r="F2115" s="29"/>
      <c r="G2115" s="29"/>
      <c r="H2115" s="28"/>
      <c r="I2115" s="29"/>
    </row>
    <row r="2116" spans="6:9" x14ac:dyDescent="0.3">
      <c r="F2116" s="29"/>
      <c r="G2116" s="29"/>
      <c r="H2116" s="28"/>
      <c r="I2116" s="29"/>
    </row>
    <row r="2117" spans="6:9" x14ac:dyDescent="0.3">
      <c r="F2117" s="29"/>
      <c r="G2117" s="29"/>
      <c r="H2117" s="28"/>
      <c r="I2117" s="29"/>
    </row>
    <row r="2118" spans="6:9" x14ac:dyDescent="0.3">
      <c r="F2118" s="29"/>
      <c r="G2118" s="29"/>
      <c r="H2118" s="28"/>
      <c r="I2118" s="29"/>
    </row>
    <row r="2119" spans="6:9" x14ac:dyDescent="0.3">
      <c r="F2119" s="29"/>
      <c r="G2119" s="29"/>
      <c r="H2119" s="28"/>
      <c r="I2119" s="29"/>
    </row>
    <row r="2120" spans="6:9" x14ac:dyDescent="0.3">
      <c r="F2120" s="29"/>
      <c r="G2120" s="29"/>
      <c r="H2120" s="28"/>
      <c r="I2120" s="29"/>
    </row>
    <row r="2121" spans="6:9" x14ac:dyDescent="0.3">
      <c r="F2121" s="29"/>
      <c r="G2121" s="29"/>
      <c r="H2121" s="28"/>
      <c r="I2121" s="29"/>
    </row>
    <row r="2122" spans="6:9" x14ac:dyDescent="0.3">
      <c r="F2122" s="29"/>
      <c r="G2122" s="29"/>
      <c r="H2122" s="28"/>
      <c r="I2122" s="29"/>
    </row>
    <row r="2123" spans="6:9" x14ac:dyDescent="0.3">
      <c r="F2123" s="29"/>
      <c r="G2123" s="29"/>
      <c r="H2123" s="28"/>
      <c r="I2123" s="29"/>
    </row>
    <row r="2124" spans="6:9" x14ac:dyDescent="0.3">
      <c r="F2124" s="29"/>
      <c r="G2124" s="29"/>
      <c r="H2124" s="28"/>
      <c r="I2124" s="29"/>
    </row>
    <row r="2125" spans="6:9" x14ac:dyDescent="0.3">
      <c r="F2125" s="29"/>
      <c r="G2125" s="29"/>
      <c r="H2125" s="28"/>
      <c r="I2125" s="29"/>
    </row>
    <row r="2126" spans="6:9" x14ac:dyDescent="0.3">
      <c r="F2126" s="29"/>
      <c r="G2126" s="29"/>
      <c r="H2126" s="28"/>
      <c r="I2126" s="29"/>
    </row>
    <row r="2127" spans="6:9" x14ac:dyDescent="0.3">
      <c r="F2127" s="29"/>
      <c r="G2127" s="29"/>
      <c r="H2127" s="28"/>
      <c r="I2127" s="29"/>
    </row>
    <row r="2128" spans="6:9" x14ac:dyDescent="0.3">
      <c r="F2128" s="29"/>
      <c r="G2128" s="29"/>
      <c r="H2128" s="28"/>
      <c r="I2128" s="29"/>
    </row>
    <row r="2129" spans="6:9" x14ac:dyDescent="0.3">
      <c r="F2129" s="29"/>
      <c r="G2129" s="29"/>
      <c r="H2129" s="28"/>
      <c r="I2129" s="29"/>
    </row>
    <row r="2130" spans="6:9" x14ac:dyDescent="0.3">
      <c r="F2130" s="29"/>
      <c r="G2130" s="29"/>
      <c r="H2130" s="28"/>
      <c r="I2130" s="29"/>
    </row>
    <row r="2131" spans="6:9" x14ac:dyDescent="0.3">
      <c r="F2131" s="29"/>
      <c r="G2131" s="29"/>
      <c r="H2131" s="28"/>
      <c r="I2131" s="29"/>
    </row>
    <row r="2132" spans="6:9" x14ac:dyDescent="0.3">
      <c r="F2132" s="29"/>
      <c r="G2132" s="29"/>
      <c r="H2132" s="28"/>
      <c r="I2132" s="29"/>
    </row>
    <row r="2133" spans="6:9" x14ac:dyDescent="0.3">
      <c r="F2133" s="29"/>
      <c r="G2133" s="29"/>
      <c r="H2133" s="28"/>
      <c r="I2133" s="29"/>
    </row>
    <row r="2134" spans="6:9" x14ac:dyDescent="0.3">
      <c r="F2134" s="29"/>
      <c r="G2134" s="29"/>
      <c r="H2134" s="28"/>
      <c r="I2134" s="29"/>
    </row>
    <row r="2135" spans="6:9" x14ac:dyDescent="0.3">
      <c r="F2135" s="29"/>
      <c r="G2135" s="29"/>
      <c r="H2135" s="28"/>
      <c r="I2135" s="29"/>
    </row>
    <row r="2136" spans="6:9" x14ac:dyDescent="0.3">
      <c r="F2136" s="29"/>
      <c r="G2136" s="29"/>
      <c r="H2136" s="28"/>
      <c r="I2136" s="29"/>
    </row>
    <row r="2137" spans="6:9" x14ac:dyDescent="0.3">
      <c r="F2137" s="29"/>
      <c r="G2137" s="29"/>
      <c r="H2137" s="28"/>
      <c r="I2137" s="29"/>
    </row>
    <row r="2138" spans="6:9" x14ac:dyDescent="0.3">
      <c r="F2138" s="29"/>
      <c r="G2138" s="29"/>
      <c r="H2138" s="28"/>
      <c r="I2138" s="29"/>
    </row>
    <row r="2139" spans="6:9" x14ac:dyDescent="0.3">
      <c r="F2139" s="29"/>
      <c r="G2139" s="29"/>
      <c r="H2139" s="28"/>
      <c r="I2139" s="29"/>
    </row>
    <row r="2140" spans="6:9" x14ac:dyDescent="0.3">
      <c r="F2140" s="29"/>
      <c r="G2140" s="29"/>
      <c r="H2140" s="28"/>
      <c r="I2140" s="29"/>
    </row>
    <row r="2141" spans="6:9" x14ac:dyDescent="0.3">
      <c r="F2141" s="29"/>
      <c r="G2141" s="29"/>
      <c r="H2141" s="28"/>
      <c r="I2141" s="29"/>
    </row>
    <row r="2142" spans="6:9" x14ac:dyDescent="0.3">
      <c r="F2142" s="29"/>
      <c r="G2142" s="29"/>
      <c r="H2142" s="28"/>
      <c r="I2142" s="29"/>
    </row>
    <row r="2143" spans="6:9" x14ac:dyDescent="0.3">
      <c r="F2143" s="29"/>
      <c r="G2143" s="29"/>
      <c r="H2143" s="28"/>
      <c r="I2143" s="29"/>
    </row>
    <row r="2144" spans="6:9" x14ac:dyDescent="0.3">
      <c r="F2144" s="29"/>
      <c r="G2144" s="29"/>
      <c r="H2144" s="28"/>
      <c r="I2144" s="29"/>
    </row>
    <row r="2145" spans="6:9" x14ac:dyDescent="0.3">
      <c r="F2145" s="29"/>
      <c r="G2145" s="29"/>
      <c r="H2145" s="28"/>
      <c r="I2145" s="29"/>
    </row>
    <row r="2146" spans="6:9" x14ac:dyDescent="0.3">
      <c r="F2146" s="29"/>
      <c r="G2146" s="29"/>
      <c r="H2146" s="28"/>
      <c r="I2146" s="29"/>
    </row>
    <row r="2147" spans="6:9" x14ac:dyDescent="0.3">
      <c r="F2147" s="29"/>
      <c r="G2147" s="29"/>
      <c r="H2147" s="28"/>
      <c r="I2147" s="29"/>
    </row>
    <row r="2148" spans="6:9" x14ac:dyDescent="0.3">
      <c r="F2148" s="29"/>
      <c r="G2148" s="29"/>
      <c r="H2148" s="28"/>
      <c r="I2148" s="29"/>
    </row>
    <row r="2149" spans="6:9" x14ac:dyDescent="0.3">
      <c r="F2149" s="29"/>
      <c r="G2149" s="29"/>
      <c r="H2149" s="28"/>
      <c r="I2149" s="29"/>
    </row>
    <row r="2150" spans="6:9" x14ac:dyDescent="0.3">
      <c r="F2150" s="29"/>
      <c r="G2150" s="29"/>
      <c r="H2150" s="28"/>
      <c r="I2150" s="29"/>
    </row>
    <row r="2151" spans="6:9" x14ac:dyDescent="0.3">
      <c r="F2151" s="29"/>
      <c r="G2151" s="29"/>
      <c r="H2151" s="28"/>
      <c r="I2151" s="29"/>
    </row>
    <row r="2152" spans="6:9" x14ac:dyDescent="0.3">
      <c r="F2152" s="29"/>
      <c r="G2152" s="29"/>
      <c r="H2152" s="28"/>
      <c r="I2152" s="29"/>
    </row>
    <row r="2153" spans="6:9" x14ac:dyDescent="0.3">
      <c r="F2153" s="29"/>
      <c r="G2153" s="29"/>
      <c r="H2153" s="28"/>
      <c r="I2153" s="29"/>
    </row>
    <row r="2154" spans="6:9" x14ac:dyDescent="0.3">
      <c r="F2154" s="29"/>
      <c r="G2154" s="29"/>
      <c r="H2154" s="28"/>
      <c r="I2154" s="29"/>
    </row>
    <row r="2155" spans="6:9" x14ac:dyDescent="0.3">
      <c r="F2155" s="29"/>
      <c r="G2155" s="29"/>
      <c r="H2155" s="28"/>
      <c r="I2155" s="29"/>
    </row>
    <row r="2156" spans="6:9" x14ac:dyDescent="0.3">
      <c r="F2156" s="29"/>
      <c r="G2156" s="29"/>
      <c r="H2156" s="28"/>
      <c r="I2156" s="29"/>
    </row>
    <row r="2157" spans="6:9" x14ac:dyDescent="0.3">
      <c r="F2157" s="29"/>
      <c r="G2157" s="29"/>
      <c r="H2157" s="28"/>
      <c r="I2157" s="29"/>
    </row>
    <row r="2158" spans="6:9" x14ac:dyDescent="0.3">
      <c r="F2158" s="29"/>
      <c r="G2158" s="29"/>
      <c r="H2158" s="28"/>
      <c r="I2158" s="29"/>
    </row>
    <row r="2159" spans="6:9" x14ac:dyDescent="0.3">
      <c r="F2159" s="29"/>
      <c r="G2159" s="29"/>
      <c r="H2159" s="28"/>
      <c r="I2159" s="29"/>
    </row>
    <row r="2160" spans="6:9" x14ac:dyDescent="0.3">
      <c r="F2160" s="29"/>
      <c r="G2160" s="29"/>
      <c r="H2160" s="28"/>
      <c r="I2160" s="29"/>
    </row>
    <row r="2161" spans="6:9" x14ac:dyDescent="0.3">
      <c r="F2161" s="29"/>
      <c r="G2161" s="29"/>
      <c r="H2161" s="28"/>
      <c r="I2161" s="29"/>
    </row>
    <row r="2162" spans="6:9" x14ac:dyDescent="0.3">
      <c r="F2162" s="29"/>
      <c r="G2162" s="29"/>
      <c r="H2162" s="28"/>
      <c r="I2162" s="29"/>
    </row>
    <row r="2163" spans="6:9" x14ac:dyDescent="0.3">
      <c r="F2163" s="29"/>
      <c r="G2163" s="29"/>
      <c r="H2163" s="28"/>
      <c r="I2163" s="29"/>
    </row>
    <row r="2164" spans="6:9" x14ac:dyDescent="0.3">
      <c r="F2164" s="29"/>
      <c r="G2164" s="29"/>
      <c r="H2164" s="28"/>
      <c r="I2164" s="29"/>
    </row>
    <row r="2165" spans="6:9" x14ac:dyDescent="0.3">
      <c r="F2165" s="29"/>
      <c r="G2165" s="29"/>
      <c r="H2165" s="28"/>
      <c r="I2165" s="29"/>
    </row>
    <row r="2166" spans="6:9" x14ac:dyDescent="0.3">
      <c r="F2166" s="29"/>
      <c r="G2166" s="29"/>
      <c r="H2166" s="28"/>
      <c r="I2166" s="29"/>
    </row>
    <row r="2167" spans="6:9" x14ac:dyDescent="0.3">
      <c r="F2167" s="29"/>
      <c r="G2167" s="29"/>
      <c r="H2167" s="28"/>
      <c r="I2167" s="29"/>
    </row>
    <row r="2168" spans="6:9" x14ac:dyDescent="0.3">
      <c r="F2168" s="29"/>
      <c r="G2168" s="29"/>
      <c r="H2168" s="28"/>
      <c r="I2168" s="29"/>
    </row>
    <row r="2169" spans="6:9" x14ac:dyDescent="0.3">
      <c r="F2169" s="29"/>
      <c r="G2169" s="29"/>
      <c r="H2169" s="28"/>
      <c r="I2169" s="29"/>
    </row>
    <row r="2170" spans="6:9" x14ac:dyDescent="0.3">
      <c r="F2170" s="29"/>
      <c r="G2170" s="29"/>
      <c r="H2170" s="28"/>
      <c r="I2170" s="29"/>
    </row>
    <row r="2171" spans="6:9" x14ac:dyDescent="0.3">
      <c r="F2171" s="29"/>
      <c r="G2171" s="29"/>
      <c r="H2171" s="28"/>
      <c r="I2171" s="29"/>
    </row>
    <row r="2172" spans="6:9" x14ac:dyDescent="0.3">
      <c r="F2172" s="29"/>
      <c r="G2172" s="29"/>
      <c r="H2172" s="28"/>
      <c r="I2172" s="29"/>
    </row>
    <row r="2173" spans="6:9" x14ac:dyDescent="0.3">
      <c r="F2173" s="29"/>
      <c r="G2173" s="29"/>
      <c r="H2173" s="28"/>
      <c r="I2173" s="29"/>
    </row>
    <row r="2174" spans="6:9" x14ac:dyDescent="0.3">
      <c r="F2174" s="29"/>
      <c r="G2174" s="29"/>
      <c r="H2174" s="28"/>
      <c r="I2174" s="29"/>
    </row>
    <row r="2175" spans="6:9" x14ac:dyDescent="0.3">
      <c r="F2175" s="29"/>
      <c r="G2175" s="29"/>
      <c r="H2175" s="28"/>
      <c r="I2175" s="29"/>
    </row>
    <row r="2176" spans="6:9" x14ac:dyDescent="0.3">
      <c r="F2176" s="29"/>
      <c r="G2176" s="29"/>
      <c r="H2176" s="28"/>
      <c r="I2176" s="29"/>
    </row>
    <row r="2177" spans="6:9" x14ac:dyDescent="0.3">
      <c r="F2177" s="29"/>
      <c r="G2177" s="29"/>
      <c r="H2177" s="28"/>
      <c r="I2177" s="29"/>
    </row>
    <row r="2178" spans="6:9" x14ac:dyDescent="0.3">
      <c r="F2178" s="29"/>
      <c r="G2178" s="29"/>
      <c r="H2178" s="28"/>
      <c r="I2178" s="29"/>
    </row>
    <row r="2179" spans="6:9" x14ac:dyDescent="0.3">
      <c r="F2179" s="29"/>
      <c r="G2179" s="29"/>
      <c r="H2179" s="28"/>
      <c r="I2179" s="29"/>
    </row>
    <row r="2180" spans="6:9" x14ac:dyDescent="0.3">
      <c r="F2180" s="29"/>
      <c r="G2180" s="29"/>
      <c r="H2180" s="28"/>
      <c r="I2180" s="29"/>
    </row>
    <row r="2181" spans="6:9" x14ac:dyDescent="0.3">
      <c r="F2181" s="29"/>
      <c r="G2181" s="29"/>
      <c r="H2181" s="28"/>
      <c r="I2181" s="29"/>
    </row>
    <row r="2182" spans="6:9" x14ac:dyDescent="0.3">
      <c r="F2182" s="29"/>
      <c r="G2182" s="29"/>
      <c r="H2182" s="28"/>
      <c r="I2182" s="29"/>
    </row>
    <row r="2183" spans="6:9" x14ac:dyDescent="0.3">
      <c r="F2183" s="29"/>
      <c r="G2183" s="29"/>
      <c r="H2183" s="28"/>
      <c r="I2183" s="29"/>
    </row>
    <row r="2184" spans="6:9" x14ac:dyDescent="0.3">
      <c r="F2184" s="29"/>
      <c r="G2184" s="29"/>
      <c r="H2184" s="28"/>
      <c r="I2184" s="29"/>
    </row>
    <row r="2185" spans="6:9" x14ac:dyDescent="0.3">
      <c r="F2185" s="29"/>
      <c r="G2185" s="29"/>
      <c r="H2185" s="28"/>
      <c r="I2185" s="29"/>
    </row>
    <row r="2186" spans="6:9" x14ac:dyDescent="0.3">
      <c r="F2186" s="29"/>
      <c r="G2186" s="29"/>
      <c r="H2186" s="28"/>
      <c r="I2186" s="29"/>
    </row>
    <row r="2187" spans="6:9" x14ac:dyDescent="0.3">
      <c r="F2187" s="29"/>
      <c r="G2187" s="29"/>
      <c r="H2187" s="28"/>
      <c r="I2187" s="29"/>
    </row>
    <row r="2188" spans="6:9" x14ac:dyDescent="0.3">
      <c r="F2188" s="29"/>
      <c r="G2188" s="29"/>
      <c r="H2188" s="28"/>
      <c r="I2188" s="29"/>
    </row>
    <row r="2189" spans="6:9" x14ac:dyDescent="0.3">
      <c r="F2189" s="29"/>
      <c r="G2189" s="29"/>
      <c r="H2189" s="28"/>
      <c r="I2189" s="29"/>
    </row>
    <row r="2190" spans="6:9" x14ac:dyDescent="0.3">
      <c r="F2190" s="29"/>
      <c r="G2190" s="29"/>
      <c r="H2190" s="28"/>
      <c r="I2190" s="29"/>
    </row>
    <row r="2191" spans="6:9" x14ac:dyDescent="0.3">
      <c r="F2191" s="29"/>
      <c r="G2191" s="29"/>
      <c r="H2191" s="28"/>
      <c r="I2191" s="29"/>
    </row>
    <row r="2192" spans="6:9" x14ac:dyDescent="0.3">
      <c r="F2192" s="29"/>
      <c r="G2192" s="29"/>
      <c r="H2192" s="28"/>
      <c r="I2192" s="29"/>
    </row>
    <row r="2193" spans="6:9" x14ac:dyDescent="0.3">
      <c r="F2193" s="29"/>
      <c r="G2193" s="29"/>
      <c r="H2193" s="28"/>
      <c r="I2193" s="29"/>
    </row>
    <row r="2194" spans="6:9" x14ac:dyDescent="0.3">
      <c r="F2194" s="29"/>
      <c r="G2194" s="29"/>
      <c r="H2194" s="28"/>
      <c r="I2194" s="29"/>
    </row>
    <row r="2195" spans="6:9" x14ac:dyDescent="0.3">
      <c r="F2195" s="29"/>
      <c r="G2195" s="29"/>
      <c r="H2195" s="28"/>
      <c r="I2195" s="29"/>
    </row>
    <row r="2196" spans="6:9" x14ac:dyDescent="0.3">
      <c r="F2196" s="29"/>
      <c r="G2196" s="29"/>
      <c r="H2196" s="28"/>
      <c r="I2196" s="29"/>
    </row>
    <row r="2197" spans="6:9" x14ac:dyDescent="0.3">
      <c r="F2197" s="29"/>
      <c r="G2197" s="29"/>
      <c r="H2197" s="28"/>
      <c r="I2197" s="29"/>
    </row>
    <row r="2198" spans="6:9" x14ac:dyDescent="0.3">
      <c r="F2198" s="29"/>
      <c r="G2198" s="29"/>
      <c r="H2198" s="28"/>
      <c r="I2198" s="29"/>
    </row>
    <row r="2199" spans="6:9" x14ac:dyDescent="0.3">
      <c r="F2199" s="29"/>
      <c r="G2199" s="29"/>
      <c r="H2199" s="28"/>
      <c r="I2199" s="29"/>
    </row>
    <row r="2200" spans="6:9" x14ac:dyDescent="0.3">
      <c r="F2200" s="29"/>
      <c r="G2200" s="29"/>
      <c r="H2200" s="28"/>
      <c r="I2200" s="29"/>
    </row>
    <row r="2201" spans="6:9" x14ac:dyDescent="0.3">
      <c r="F2201" s="29"/>
      <c r="G2201" s="29"/>
      <c r="H2201" s="28"/>
      <c r="I2201" s="29"/>
    </row>
    <row r="2202" spans="6:9" x14ac:dyDescent="0.3">
      <c r="F2202" s="29"/>
      <c r="G2202" s="29"/>
      <c r="H2202" s="28"/>
      <c r="I2202" s="29"/>
    </row>
    <row r="2203" spans="6:9" x14ac:dyDescent="0.3">
      <c r="F2203" s="29"/>
      <c r="G2203" s="29"/>
      <c r="H2203" s="28"/>
      <c r="I2203" s="29"/>
    </row>
    <row r="2204" spans="6:9" x14ac:dyDescent="0.3">
      <c r="F2204" s="29"/>
      <c r="G2204" s="29"/>
      <c r="H2204" s="28"/>
      <c r="I2204" s="29"/>
    </row>
    <row r="2205" spans="6:9" x14ac:dyDescent="0.3">
      <c r="F2205" s="29"/>
      <c r="G2205" s="29"/>
      <c r="H2205" s="28"/>
      <c r="I2205" s="29"/>
    </row>
    <row r="2206" spans="6:9" x14ac:dyDescent="0.3">
      <c r="F2206" s="29"/>
      <c r="G2206" s="29"/>
      <c r="H2206" s="28"/>
      <c r="I2206" s="29"/>
    </row>
    <row r="2207" spans="6:9" x14ac:dyDescent="0.3">
      <c r="F2207" s="29"/>
      <c r="G2207" s="29"/>
      <c r="H2207" s="28"/>
      <c r="I2207" s="29"/>
    </row>
    <row r="2208" spans="6:9" x14ac:dyDescent="0.3">
      <c r="F2208" s="29"/>
      <c r="G2208" s="29"/>
      <c r="H2208" s="28"/>
      <c r="I2208" s="29"/>
    </row>
    <row r="2209" spans="6:9" x14ac:dyDescent="0.3">
      <c r="F2209" s="29"/>
      <c r="G2209" s="29"/>
      <c r="H2209" s="28"/>
      <c r="I2209" s="29"/>
    </row>
    <row r="2210" spans="6:9" x14ac:dyDescent="0.3">
      <c r="F2210" s="29"/>
      <c r="G2210" s="29"/>
      <c r="H2210" s="28"/>
      <c r="I2210" s="29"/>
    </row>
    <row r="2211" spans="6:9" x14ac:dyDescent="0.3">
      <c r="F2211" s="29"/>
      <c r="G2211" s="29"/>
      <c r="H2211" s="28"/>
      <c r="I2211" s="29"/>
    </row>
    <row r="2212" spans="6:9" x14ac:dyDescent="0.3">
      <c r="F2212" s="29"/>
      <c r="G2212" s="29"/>
      <c r="H2212" s="28"/>
      <c r="I2212" s="29"/>
    </row>
    <row r="2213" spans="6:9" x14ac:dyDescent="0.3">
      <c r="F2213" s="29"/>
      <c r="G2213" s="29"/>
      <c r="H2213" s="28"/>
      <c r="I2213" s="29"/>
    </row>
    <row r="2214" spans="6:9" x14ac:dyDescent="0.3">
      <c r="F2214" s="29"/>
      <c r="G2214" s="29"/>
      <c r="H2214" s="28"/>
      <c r="I2214" s="29"/>
    </row>
    <row r="2215" spans="6:9" x14ac:dyDescent="0.3">
      <c r="F2215" s="29"/>
      <c r="G2215" s="29"/>
      <c r="H2215" s="28"/>
      <c r="I2215" s="29"/>
    </row>
    <row r="2216" spans="6:9" x14ac:dyDescent="0.3">
      <c r="F2216" s="29"/>
      <c r="G2216" s="29"/>
      <c r="H2216" s="28"/>
      <c r="I2216" s="29"/>
    </row>
    <row r="2217" spans="6:9" x14ac:dyDescent="0.3">
      <c r="F2217" s="29"/>
      <c r="G2217" s="29"/>
      <c r="H2217" s="28"/>
      <c r="I2217" s="29"/>
    </row>
    <row r="2218" spans="6:9" x14ac:dyDescent="0.3">
      <c r="F2218" s="29"/>
      <c r="G2218" s="29"/>
      <c r="H2218" s="28"/>
      <c r="I2218" s="29"/>
    </row>
    <row r="2219" spans="6:9" x14ac:dyDescent="0.3">
      <c r="F2219" s="29"/>
      <c r="G2219" s="29"/>
      <c r="H2219" s="28"/>
      <c r="I2219" s="29"/>
    </row>
    <row r="2220" spans="6:9" x14ac:dyDescent="0.3">
      <c r="F2220" s="29"/>
      <c r="G2220" s="29"/>
      <c r="H2220" s="28"/>
      <c r="I2220" s="29"/>
    </row>
    <row r="2221" spans="6:9" x14ac:dyDescent="0.3">
      <c r="F2221" s="29"/>
      <c r="G2221" s="29"/>
      <c r="H2221" s="28"/>
      <c r="I2221" s="29"/>
    </row>
    <row r="2222" spans="6:9" x14ac:dyDescent="0.3">
      <c r="F2222" s="29"/>
      <c r="G2222" s="29"/>
      <c r="H2222" s="28"/>
      <c r="I2222" s="29"/>
    </row>
    <row r="2223" spans="6:9" x14ac:dyDescent="0.3">
      <c r="F2223" s="29"/>
      <c r="G2223" s="29"/>
      <c r="H2223" s="28"/>
      <c r="I2223" s="29"/>
    </row>
    <row r="2224" spans="6:9" x14ac:dyDescent="0.3">
      <c r="F2224" s="29"/>
      <c r="G2224" s="29"/>
      <c r="H2224" s="28"/>
      <c r="I2224" s="29"/>
    </row>
    <row r="2225" spans="6:9" x14ac:dyDescent="0.3">
      <c r="F2225" s="29"/>
      <c r="G2225" s="29"/>
      <c r="H2225" s="28"/>
      <c r="I2225" s="29"/>
    </row>
    <row r="2226" spans="6:9" x14ac:dyDescent="0.3">
      <c r="F2226" s="29"/>
      <c r="G2226" s="29"/>
      <c r="H2226" s="28"/>
      <c r="I2226" s="29"/>
    </row>
    <row r="2227" spans="6:9" x14ac:dyDescent="0.3">
      <c r="F2227" s="29"/>
      <c r="G2227" s="29"/>
      <c r="H2227" s="28"/>
      <c r="I2227" s="29"/>
    </row>
    <row r="2228" spans="6:9" x14ac:dyDescent="0.3">
      <c r="F2228" s="29"/>
      <c r="G2228" s="29"/>
      <c r="H2228" s="28"/>
      <c r="I2228" s="29"/>
    </row>
    <row r="2229" spans="6:9" x14ac:dyDescent="0.3">
      <c r="F2229" s="29"/>
      <c r="G2229" s="29"/>
      <c r="H2229" s="28"/>
      <c r="I2229" s="29"/>
    </row>
    <row r="2230" spans="6:9" x14ac:dyDescent="0.3">
      <c r="F2230" s="29"/>
      <c r="G2230" s="29"/>
      <c r="H2230" s="28"/>
      <c r="I2230" s="29"/>
    </row>
    <row r="2231" spans="6:9" x14ac:dyDescent="0.3">
      <c r="F2231" s="29"/>
      <c r="G2231" s="29"/>
      <c r="H2231" s="28"/>
      <c r="I2231" s="29"/>
    </row>
    <row r="2232" spans="6:9" x14ac:dyDescent="0.3">
      <c r="F2232" s="29"/>
      <c r="G2232" s="29"/>
      <c r="H2232" s="28"/>
      <c r="I2232" s="29"/>
    </row>
    <row r="2233" spans="6:9" x14ac:dyDescent="0.3">
      <c r="F2233" s="29"/>
      <c r="G2233" s="29"/>
      <c r="H2233" s="28"/>
      <c r="I2233" s="29"/>
    </row>
    <row r="2234" spans="6:9" x14ac:dyDescent="0.3">
      <c r="F2234" s="29"/>
      <c r="G2234" s="29"/>
      <c r="H2234" s="28"/>
      <c r="I2234" s="29"/>
    </row>
    <row r="2235" spans="6:9" x14ac:dyDescent="0.3">
      <c r="F2235" s="29"/>
      <c r="G2235" s="29"/>
      <c r="H2235" s="28"/>
      <c r="I2235" s="29"/>
    </row>
    <row r="2236" spans="6:9" x14ac:dyDescent="0.3">
      <c r="F2236" s="29"/>
      <c r="G2236" s="29"/>
      <c r="H2236" s="28"/>
      <c r="I2236" s="29"/>
    </row>
    <row r="2237" spans="6:9" x14ac:dyDescent="0.3">
      <c r="F2237" s="29"/>
      <c r="G2237" s="29"/>
      <c r="H2237" s="28"/>
      <c r="I2237" s="29"/>
    </row>
    <row r="2238" spans="6:9" x14ac:dyDescent="0.3">
      <c r="F2238" s="29"/>
      <c r="G2238" s="29"/>
      <c r="H2238" s="28"/>
      <c r="I2238" s="29"/>
    </row>
    <row r="2239" spans="6:9" x14ac:dyDescent="0.3">
      <c r="F2239" s="29"/>
      <c r="G2239" s="29"/>
      <c r="H2239" s="28"/>
      <c r="I2239" s="29"/>
    </row>
    <row r="2240" spans="6:9" x14ac:dyDescent="0.3">
      <c r="F2240" s="29"/>
      <c r="G2240" s="29"/>
      <c r="H2240" s="28"/>
      <c r="I2240" s="29"/>
    </row>
    <row r="2241" spans="6:9" x14ac:dyDescent="0.3">
      <c r="F2241" s="29"/>
      <c r="G2241" s="29"/>
      <c r="H2241" s="28"/>
      <c r="I2241" s="29"/>
    </row>
    <row r="2242" spans="6:9" x14ac:dyDescent="0.3">
      <c r="F2242" s="29"/>
      <c r="G2242" s="29"/>
      <c r="H2242" s="28"/>
      <c r="I2242" s="29"/>
    </row>
    <row r="2243" spans="6:9" x14ac:dyDescent="0.3">
      <c r="F2243" s="29"/>
      <c r="G2243" s="29"/>
      <c r="H2243" s="28"/>
      <c r="I2243" s="29"/>
    </row>
    <row r="2244" spans="6:9" x14ac:dyDescent="0.3">
      <c r="F2244" s="29"/>
      <c r="G2244" s="29"/>
      <c r="H2244" s="28"/>
      <c r="I2244" s="29"/>
    </row>
    <row r="2245" spans="6:9" x14ac:dyDescent="0.3">
      <c r="F2245" s="29"/>
      <c r="G2245" s="29"/>
      <c r="H2245" s="28"/>
      <c r="I2245" s="29"/>
    </row>
    <row r="2246" spans="6:9" x14ac:dyDescent="0.3">
      <c r="F2246" s="29"/>
      <c r="G2246" s="29"/>
      <c r="H2246" s="28"/>
      <c r="I2246" s="29"/>
    </row>
    <row r="2247" spans="6:9" x14ac:dyDescent="0.3">
      <c r="F2247" s="29"/>
      <c r="G2247" s="29"/>
      <c r="H2247" s="28"/>
      <c r="I2247" s="29"/>
    </row>
    <row r="2248" spans="6:9" x14ac:dyDescent="0.3">
      <c r="F2248" s="29"/>
      <c r="G2248" s="29"/>
      <c r="H2248" s="28"/>
      <c r="I2248" s="29"/>
    </row>
    <row r="2249" spans="6:9" x14ac:dyDescent="0.3">
      <c r="F2249" s="29"/>
      <c r="G2249" s="29"/>
      <c r="H2249" s="28"/>
      <c r="I2249" s="29"/>
    </row>
    <row r="2250" spans="6:9" x14ac:dyDescent="0.3">
      <c r="F2250" s="29"/>
      <c r="G2250" s="29"/>
      <c r="H2250" s="28"/>
      <c r="I2250" s="29"/>
    </row>
    <row r="2251" spans="6:9" x14ac:dyDescent="0.3">
      <c r="F2251" s="29"/>
      <c r="G2251" s="29"/>
      <c r="H2251" s="28"/>
      <c r="I2251" s="29"/>
    </row>
    <row r="2252" spans="6:9" x14ac:dyDescent="0.3">
      <c r="F2252" s="29"/>
      <c r="G2252" s="29"/>
      <c r="H2252" s="28"/>
      <c r="I2252" s="29"/>
    </row>
    <row r="2253" spans="6:9" x14ac:dyDescent="0.3">
      <c r="F2253" s="29"/>
      <c r="G2253" s="29"/>
      <c r="H2253" s="28"/>
      <c r="I2253" s="29"/>
    </row>
    <row r="2254" spans="6:9" x14ac:dyDescent="0.3">
      <c r="F2254" s="29"/>
      <c r="G2254" s="29"/>
      <c r="H2254" s="28"/>
      <c r="I2254" s="29"/>
    </row>
    <row r="2255" spans="6:9" x14ac:dyDescent="0.3">
      <c r="F2255" s="29"/>
      <c r="G2255" s="29"/>
      <c r="H2255" s="28"/>
      <c r="I2255" s="29"/>
    </row>
    <row r="2256" spans="6:9" x14ac:dyDescent="0.3">
      <c r="F2256" s="29"/>
      <c r="G2256" s="29"/>
      <c r="H2256" s="28"/>
      <c r="I2256" s="29"/>
    </row>
    <row r="2257" spans="6:9" x14ac:dyDescent="0.3">
      <c r="F2257" s="29"/>
      <c r="G2257" s="29"/>
      <c r="H2257" s="28"/>
      <c r="I2257" s="29"/>
    </row>
    <row r="2258" spans="6:9" x14ac:dyDescent="0.3">
      <c r="F2258" s="29"/>
      <c r="G2258" s="29"/>
      <c r="H2258" s="28"/>
      <c r="I2258" s="29"/>
    </row>
    <row r="2259" spans="6:9" x14ac:dyDescent="0.3">
      <c r="F2259" s="29"/>
      <c r="G2259" s="29"/>
      <c r="H2259" s="28"/>
      <c r="I2259" s="29"/>
    </row>
    <row r="2260" spans="6:9" x14ac:dyDescent="0.3">
      <c r="F2260" s="29"/>
      <c r="G2260" s="29"/>
      <c r="H2260" s="28"/>
      <c r="I2260" s="29"/>
    </row>
    <row r="2261" spans="6:9" x14ac:dyDescent="0.3">
      <c r="F2261" s="29"/>
      <c r="G2261" s="29"/>
      <c r="H2261" s="28"/>
      <c r="I2261" s="29"/>
    </row>
    <row r="2262" spans="6:9" x14ac:dyDescent="0.3">
      <c r="F2262" s="29"/>
      <c r="G2262" s="29"/>
      <c r="H2262" s="28"/>
      <c r="I2262" s="29"/>
    </row>
    <row r="2263" spans="6:9" x14ac:dyDescent="0.3">
      <c r="F2263" s="29"/>
      <c r="G2263" s="29"/>
      <c r="H2263" s="28"/>
      <c r="I2263" s="29"/>
    </row>
    <row r="2264" spans="6:9" x14ac:dyDescent="0.3">
      <c r="F2264" s="29"/>
      <c r="G2264" s="29"/>
      <c r="H2264" s="28"/>
      <c r="I2264" s="29"/>
    </row>
    <row r="2265" spans="6:9" x14ac:dyDescent="0.3">
      <c r="F2265" s="29"/>
      <c r="G2265" s="29"/>
      <c r="H2265" s="28"/>
      <c r="I2265" s="29"/>
    </row>
    <row r="2266" spans="6:9" x14ac:dyDescent="0.3">
      <c r="F2266" s="29"/>
      <c r="G2266" s="29"/>
      <c r="H2266" s="28"/>
      <c r="I2266" s="29"/>
    </row>
    <row r="2267" spans="6:9" x14ac:dyDescent="0.3">
      <c r="F2267" s="29"/>
      <c r="G2267" s="29"/>
      <c r="H2267" s="28"/>
      <c r="I2267" s="29"/>
    </row>
    <row r="2268" spans="6:9" x14ac:dyDescent="0.3">
      <c r="F2268" s="29"/>
      <c r="G2268" s="29"/>
      <c r="H2268" s="28"/>
      <c r="I2268" s="29"/>
    </row>
    <row r="2269" spans="6:9" x14ac:dyDescent="0.3">
      <c r="F2269" s="29"/>
      <c r="G2269" s="29"/>
      <c r="H2269" s="28"/>
      <c r="I2269" s="29"/>
    </row>
    <row r="2270" spans="6:9" x14ac:dyDescent="0.3">
      <c r="F2270" s="29"/>
      <c r="G2270" s="29"/>
      <c r="H2270" s="28"/>
      <c r="I2270" s="29"/>
    </row>
    <row r="2271" spans="6:9" x14ac:dyDescent="0.3">
      <c r="F2271" s="29"/>
      <c r="G2271" s="29"/>
      <c r="H2271" s="28"/>
      <c r="I2271" s="29"/>
    </row>
    <row r="2272" spans="6:9" x14ac:dyDescent="0.3">
      <c r="F2272" s="29"/>
      <c r="G2272" s="29"/>
      <c r="H2272" s="28"/>
      <c r="I2272" s="29"/>
    </row>
    <row r="2273" spans="6:9" x14ac:dyDescent="0.3">
      <c r="F2273" s="29"/>
      <c r="G2273" s="29"/>
      <c r="H2273" s="28"/>
      <c r="I2273" s="29"/>
    </row>
    <row r="2274" spans="6:9" x14ac:dyDescent="0.3">
      <c r="F2274" s="29"/>
      <c r="G2274" s="29"/>
      <c r="H2274" s="28"/>
      <c r="I2274" s="29"/>
    </row>
    <row r="2275" spans="6:9" x14ac:dyDescent="0.3">
      <c r="F2275" s="29"/>
      <c r="G2275" s="29"/>
      <c r="H2275" s="28"/>
      <c r="I2275" s="29"/>
    </row>
    <row r="2276" spans="6:9" x14ac:dyDescent="0.3">
      <c r="F2276" s="29"/>
      <c r="G2276" s="29"/>
      <c r="H2276" s="28"/>
      <c r="I2276" s="29"/>
    </row>
    <row r="2277" spans="6:9" x14ac:dyDescent="0.3">
      <c r="F2277" s="29"/>
      <c r="G2277" s="29"/>
      <c r="H2277" s="28"/>
      <c r="I2277" s="29"/>
    </row>
    <row r="2278" spans="6:9" x14ac:dyDescent="0.3">
      <c r="F2278" s="29"/>
      <c r="G2278" s="29"/>
      <c r="H2278" s="28"/>
      <c r="I2278" s="29"/>
    </row>
    <row r="2279" spans="6:9" x14ac:dyDescent="0.3">
      <c r="F2279" s="29"/>
      <c r="G2279" s="29"/>
      <c r="H2279" s="28"/>
      <c r="I2279" s="29"/>
    </row>
    <row r="2280" spans="6:9" x14ac:dyDescent="0.3">
      <c r="F2280" s="29"/>
      <c r="G2280" s="29"/>
      <c r="H2280" s="28"/>
      <c r="I2280" s="29"/>
    </row>
    <row r="2281" spans="6:9" x14ac:dyDescent="0.3">
      <c r="F2281" s="29"/>
      <c r="G2281" s="29"/>
      <c r="H2281" s="28"/>
      <c r="I2281" s="29"/>
    </row>
    <row r="2282" spans="6:9" x14ac:dyDescent="0.3">
      <c r="F2282" s="29"/>
      <c r="G2282" s="29"/>
      <c r="H2282" s="28"/>
      <c r="I2282" s="29"/>
    </row>
    <row r="2283" spans="6:9" x14ac:dyDescent="0.3">
      <c r="F2283" s="29"/>
      <c r="G2283" s="29"/>
      <c r="H2283" s="28"/>
      <c r="I2283" s="29"/>
    </row>
    <row r="2284" spans="6:9" x14ac:dyDescent="0.3">
      <c r="F2284" s="29"/>
      <c r="G2284" s="29"/>
      <c r="H2284" s="28"/>
      <c r="I2284" s="29"/>
    </row>
    <row r="2285" spans="6:9" x14ac:dyDescent="0.3">
      <c r="F2285" s="29"/>
      <c r="G2285" s="29"/>
      <c r="H2285" s="28"/>
      <c r="I2285" s="29"/>
    </row>
    <row r="2286" spans="6:9" x14ac:dyDescent="0.3">
      <c r="F2286" s="29"/>
      <c r="G2286" s="29"/>
      <c r="H2286" s="28"/>
      <c r="I2286" s="29"/>
    </row>
    <row r="2287" spans="6:9" x14ac:dyDescent="0.3">
      <c r="F2287" s="29"/>
      <c r="G2287" s="29"/>
      <c r="H2287" s="28"/>
      <c r="I2287" s="29"/>
    </row>
    <row r="2288" spans="6:9" x14ac:dyDescent="0.3">
      <c r="F2288" s="29"/>
      <c r="G2288" s="29"/>
      <c r="H2288" s="28"/>
      <c r="I2288" s="29"/>
    </row>
    <row r="2289" spans="6:9" x14ac:dyDescent="0.3">
      <c r="F2289" s="29"/>
      <c r="G2289" s="29"/>
      <c r="H2289" s="28"/>
      <c r="I2289" s="29"/>
    </row>
    <row r="2290" spans="6:9" x14ac:dyDescent="0.3">
      <c r="F2290" s="29"/>
      <c r="G2290" s="29"/>
      <c r="H2290" s="28"/>
      <c r="I2290" s="29"/>
    </row>
    <row r="2291" spans="6:9" x14ac:dyDescent="0.3">
      <c r="F2291" s="29"/>
      <c r="G2291" s="29"/>
      <c r="H2291" s="28"/>
      <c r="I2291" s="29"/>
    </row>
    <row r="2292" spans="6:9" x14ac:dyDescent="0.3">
      <c r="F2292" s="29"/>
      <c r="G2292" s="29"/>
      <c r="H2292" s="28"/>
      <c r="I2292" s="29"/>
    </row>
    <row r="2293" spans="6:9" x14ac:dyDescent="0.3">
      <c r="F2293" s="29"/>
      <c r="G2293" s="29"/>
      <c r="H2293" s="28"/>
      <c r="I2293" s="29"/>
    </row>
    <row r="2294" spans="6:9" x14ac:dyDescent="0.3">
      <c r="F2294" s="29"/>
      <c r="G2294" s="29"/>
      <c r="H2294" s="28"/>
      <c r="I2294" s="29"/>
    </row>
    <row r="2295" spans="6:9" x14ac:dyDescent="0.3">
      <c r="F2295" s="29"/>
      <c r="G2295" s="29"/>
      <c r="H2295" s="28"/>
      <c r="I2295" s="29"/>
    </row>
    <row r="2296" spans="6:9" x14ac:dyDescent="0.3">
      <c r="F2296" s="29"/>
      <c r="G2296" s="29"/>
      <c r="H2296" s="28"/>
      <c r="I2296" s="29"/>
    </row>
    <row r="2297" spans="6:9" x14ac:dyDescent="0.3">
      <c r="F2297" s="29"/>
      <c r="G2297" s="29"/>
      <c r="H2297" s="28"/>
      <c r="I2297" s="29"/>
    </row>
    <row r="2298" spans="6:9" x14ac:dyDescent="0.3">
      <c r="F2298" s="29"/>
      <c r="G2298" s="29"/>
      <c r="H2298" s="28"/>
      <c r="I2298" s="29"/>
    </row>
    <row r="2299" spans="6:9" x14ac:dyDescent="0.3">
      <c r="F2299" s="29"/>
      <c r="G2299" s="29"/>
      <c r="H2299" s="28"/>
      <c r="I2299" s="29"/>
    </row>
    <row r="2300" spans="6:9" x14ac:dyDescent="0.3">
      <c r="F2300" s="29"/>
      <c r="G2300" s="29"/>
      <c r="H2300" s="28"/>
      <c r="I2300" s="29"/>
    </row>
    <row r="2301" spans="6:9" x14ac:dyDescent="0.3">
      <c r="F2301" s="29"/>
      <c r="G2301" s="29"/>
      <c r="H2301" s="28"/>
      <c r="I2301" s="29"/>
    </row>
    <row r="2302" spans="6:9" x14ac:dyDescent="0.3">
      <c r="F2302" s="29"/>
      <c r="G2302" s="29"/>
      <c r="H2302" s="28"/>
      <c r="I2302" s="29"/>
    </row>
    <row r="2303" spans="6:9" x14ac:dyDescent="0.3">
      <c r="F2303" s="29"/>
      <c r="G2303" s="29"/>
      <c r="H2303" s="28"/>
      <c r="I2303" s="29"/>
    </row>
    <row r="2304" spans="6:9" x14ac:dyDescent="0.3">
      <c r="F2304" s="29"/>
      <c r="G2304" s="29"/>
      <c r="H2304" s="28"/>
      <c r="I2304" s="29"/>
    </row>
    <row r="2305" spans="6:9" x14ac:dyDescent="0.3">
      <c r="F2305" s="29"/>
      <c r="G2305" s="29"/>
      <c r="H2305" s="28"/>
      <c r="I2305" s="29"/>
    </row>
    <row r="2306" spans="6:9" x14ac:dyDescent="0.3">
      <c r="F2306" s="29"/>
      <c r="G2306" s="29"/>
      <c r="H2306" s="28"/>
      <c r="I2306" s="29"/>
    </row>
    <row r="2307" spans="6:9" x14ac:dyDescent="0.3">
      <c r="F2307" s="29"/>
      <c r="G2307" s="29"/>
      <c r="H2307" s="28"/>
      <c r="I2307" s="29"/>
    </row>
    <row r="2308" spans="6:9" x14ac:dyDescent="0.3">
      <c r="F2308" s="29"/>
      <c r="G2308" s="29"/>
      <c r="H2308" s="28"/>
      <c r="I2308" s="29"/>
    </row>
    <row r="2309" spans="6:9" x14ac:dyDescent="0.3">
      <c r="F2309" s="29"/>
      <c r="G2309" s="29"/>
      <c r="H2309" s="28"/>
      <c r="I2309" s="29"/>
    </row>
    <row r="2310" spans="6:9" x14ac:dyDescent="0.3">
      <c r="F2310" s="29"/>
      <c r="G2310" s="29"/>
      <c r="H2310" s="28"/>
      <c r="I2310" s="29"/>
    </row>
    <row r="2311" spans="6:9" x14ac:dyDescent="0.3">
      <c r="F2311" s="29"/>
      <c r="G2311" s="29"/>
      <c r="H2311" s="28"/>
      <c r="I2311" s="29"/>
    </row>
    <row r="2312" spans="6:9" x14ac:dyDescent="0.3">
      <c r="F2312" s="29"/>
      <c r="G2312" s="29"/>
      <c r="H2312" s="28"/>
      <c r="I2312" s="29"/>
    </row>
    <row r="2313" spans="6:9" x14ac:dyDescent="0.3">
      <c r="F2313" s="29"/>
      <c r="G2313" s="29"/>
      <c r="H2313" s="28"/>
      <c r="I2313" s="29"/>
    </row>
    <row r="2314" spans="6:9" x14ac:dyDescent="0.3">
      <c r="F2314" s="29"/>
      <c r="G2314" s="29"/>
      <c r="H2314" s="28"/>
      <c r="I2314" s="29"/>
    </row>
    <row r="2315" spans="6:9" x14ac:dyDescent="0.3">
      <c r="F2315" s="29"/>
      <c r="G2315" s="29"/>
      <c r="H2315" s="28"/>
      <c r="I2315" s="29"/>
    </row>
    <row r="2316" spans="6:9" x14ac:dyDescent="0.3">
      <c r="F2316" s="29"/>
      <c r="G2316" s="29"/>
      <c r="H2316" s="28"/>
      <c r="I2316" s="29"/>
    </row>
    <row r="2317" spans="6:9" x14ac:dyDescent="0.3">
      <c r="F2317" s="29"/>
      <c r="G2317" s="29"/>
      <c r="H2317" s="28"/>
      <c r="I2317" s="29"/>
    </row>
    <row r="2318" spans="6:9" x14ac:dyDescent="0.3">
      <c r="F2318" s="29"/>
      <c r="G2318" s="29"/>
      <c r="H2318" s="28"/>
      <c r="I2318" s="29"/>
    </row>
    <row r="2319" spans="6:9" x14ac:dyDescent="0.3">
      <c r="F2319" s="29"/>
      <c r="G2319" s="29"/>
      <c r="H2319" s="28"/>
      <c r="I2319" s="29"/>
    </row>
    <row r="2320" spans="6:9" x14ac:dyDescent="0.3">
      <c r="F2320" s="29"/>
      <c r="G2320" s="29"/>
      <c r="H2320" s="28"/>
      <c r="I2320" s="29"/>
    </row>
    <row r="2321" spans="6:9" x14ac:dyDescent="0.3">
      <c r="F2321" s="29"/>
      <c r="G2321" s="29"/>
      <c r="H2321" s="28"/>
      <c r="I2321" s="29"/>
    </row>
    <row r="2322" spans="6:9" x14ac:dyDescent="0.3">
      <c r="F2322" s="29"/>
      <c r="G2322" s="29"/>
      <c r="H2322" s="28"/>
      <c r="I2322" s="29"/>
    </row>
    <row r="2323" spans="6:9" x14ac:dyDescent="0.3">
      <c r="F2323" s="29"/>
      <c r="G2323" s="29"/>
      <c r="H2323" s="28"/>
      <c r="I2323" s="29"/>
    </row>
    <row r="2324" spans="6:9" x14ac:dyDescent="0.3">
      <c r="F2324" s="29"/>
      <c r="G2324" s="29"/>
      <c r="H2324" s="28"/>
      <c r="I2324" s="29"/>
    </row>
    <row r="2325" spans="6:9" x14ac:dyDescent="0.3">
      <c r="F2325" s="29"/>
      <c r="G2325" s="29"/>
      <c r="H2325" s="28"/>
      <c r="I2325" s="29"/>
    </row>
    <row r="2326" spans="6:9" x14ac:dyDescent="0.3">
      <c r="F2326" s="29"/>
      <c r="G2326" s="29"/>
      <c r="H2326" s="28"/>
      <c r="I2326" s="29"/>
    </row>
    <row r="2327" spans="6:9" x14ac:dyDescent="0.3">
      <c r="F2327" s="29"/>
      <c r="G2327" s="29"/>
      <c r="H2327" s="28"/>
      <c r="I2327" s="29"/>
    </row>
    <row r="2328" spans="6:9" x14ac:dyDescent="0.3">
      <c r="F2328" s="29"/>
      <c r="G2328" s="29"/>
      <c r="H2328" s="28"/>
      <c r="I2328" s="29"/>
    </row>
    <row r="2329" spans="6:9" x14ac:dyDescent="0.3">
      <c r="F2329" s="29"/>
      <c r="G2329" s="29"/>
      <c r="H2329" s="28"/>
      <c r="I2329" s="29"/>
    </row>
    <row r="2330" spans="6:9" x14ac:dyDescent="0.3">
      <c r="F2330" s="29"/>
      <c r="G2330" s="29"/>
      <c r="H2330" s="28"/>
      <c r="I2330" s="29"/>
    </row>
    <row r="2331" spans="6:9" x14ac:dyDescent="0.3">
      <c r="F2331" s="29"/>
      <c r="G2331" s="29"/>
      <c r="H2331" s="28"/>
      <c r="I2331" s="29"/>
    </row>
    <row r="2332" spans="6:9" x14ac:dyDescent="0.3">
      <c r="F2332" s="29"/>
      <c r="G2332" s="29"/>
      <c r="H2332" s="28"/>
      <c r="I2332" s="29"/>
    </row>
    <row r="2333" spans="6:9" x14ac:dyDescent="0.3">
      <c r="F2333" s="29"/>
      <c r="G2333" s="29"/>
      <c r="H2333" s="28"/>
      <c r="I2333" s="29"/>
    </row>
    <row r="2334" spans="6:9" x14ac:dyDescent="0.3">
      <c r="F2334" s="29"/>
      <c r="G2334" s="29"/>
      <c r="H2334" s="28"/>
      <c r="I2334" s="29"/>
    </row>
    <row r="2335" spans="6:9" x14ac:dyDescent="0.3">
      <c r="F2335" s="29"/>
      <c r="G2335" s="29"/>
      <c r="H2335" s="28"/>
      <c r="I2335" s="29"/>
    </row>
    <row r="2336" spans="6:9" x14ac:dyDescent="0.3">
      <c r="F2336" s="29"/>
      <c r="G2336" s="29"/>
      <c r="H2336" s="28"/>
      <c r="I2336" s="29"/>
    </row>
    <row r="2337" spans="6:9" x14ac:dyDescent="0.3">
      <c r="F2337" s="29"/>
      <c r="G2337" s="29"/>
      <c r="H2337" s="28"/>
      <c r="I2337" s="29"/>
    </row>
    <row r="2338" spans="6:9" x14ac:dyDescent="0.3">
      <c r="F2338" s="29"/>
      <c r="G2338" s="29"/>
      <c r="H2338" s="28"/>
      <c r="I2338" s="29"/>
    </row>
    <row r="2339" spans="6:9" x14ac:dyDescent="0.3">
      <c r="F2339" s="29"/>
      <c r="G2339" s="29"/>
      <c r="H2339" s="28"/>
      <c r="I2339" s="29"/>
    </row>
    <row r="2340" spans="6:9" x14ac:dyDescent="0.3">
      <c r="F2340" s="29"/>
      <c r="G2340" s="29"/>
      <c r="H2340" s="28"/>
      <c r="I2340" s="29"/>
    </row>
    <row r="2341" spans="6:9" x14ac:dyDescent="0.3">
      <c r="F2341" s="29"/>
      <c r="G2341" s="29"/>
      <c r="H2341" s="28"/>
      <c r="I2341" s="29"/>
    </row>
    <row r="2342" spans="6:9" x14ac:dyDescent="0.3">
      <c r="F2342" s="29"/>
      <c r="G2342" s="29"/>
      <c r="H2342" s="28"/>
      <c r="I2342" s="29"/>
    </row>
    <row r="2343" spans="6:9" x14ac:dyDescent="0.3">
      <c r="F2343" s="29"/>
      <c r="G2343" s="29"/>
      <c r="H2343" s="28"/>
      <c r="I2343" s="29"/>
    </row>
    <row r="2344" spans="6:9" x14ac:dyDescent="0.3">
      <c r="F2344" s="29"/>
      <c r="G2344" s="29"/>
      <c r="H2344" s="28"/>
      <c r="I2344" s="29"/>
    </row>
    <row r="2345" spans="6:9" x14ac:dyDescent="0.3">
      <c r="F2345" s="29"/>
      <c r="G2345" s="29"/>
      <c r="H2345" s="28"/>
      <c r="I2345" s="29"/>
    </row>
    <row r="2346" spans="6:9" x14ac:dyDescent="0.3">
      <c r="F2346" s="29"/>
      <c r="G2346" s="29"/>
      <c r="H2346" s="28"/>
      <c r="I2346" s="29"/>
    </row>
    <row r="2347" spans="6:9" x14ac:dyDescent="0.3">
      <c r="F2347" s="29"/>
      <c r="G2347" s="29"/>
      <c r="H2347" s="28"/>
      <c r="I2347" s="29"/>
    </row>
    <row r="2348" spans="6:9" x14ac:dyDescent="0.3">
      <c r="F2348" s="29"/>
      <c r="G2348" s="29"/>
      <c r="H2348" s="28"/>
      <c r="I2348" s="29"/>
    </row>
    <row r="2349" spans="6:9" x14ac:dyDescent="0.3">
      <c r="F2349" s="29"/>
      <c r="G2349" s="29"/>
      <c r="H2349" s="28"/>
      <c r="I2349" s="29"/>
    </row>
    <row r="2350" spans="6:9" x14ac:dyDescent="0.3">
      <c r="F2350" s="29"/>
      <c r="G2350" s="29"/>
      <c r="H2350" s="28"/>
      <c r="I2350" s="29"/>
    </row>
    <row r="2351" spans="6:9" x14ac:dyDescent="0.3">
      <c r="F2351" s="29"/>
      <c r="G2351" s="29"/>
      <c r="H2351" s="28"/>
      <c r="I2351" s="29"/>
    </row>
    <row r="2352" spans="6:9" x14ac:dyDescent="0.3">
      <c r="F2352" s="29"/>
      <c r="G2352" s="29"/>
      <c r="H2352" s="28"/>
      <c r="I2352" s="29"/>
    </row>
    <row r="2353" spans="6:9" x14ac:dyDescent="0.3">
      <c r="F2353" s="29"/>
      <c r="G2353" s="29"/>
      <c r="H2353" s="28"/>
      <c r="I2353" s="29"/>
    </row>
    <row r="2354" spans="6:9" x14ac:dyDescent="0.3">
      <c r="F2354" s="29"/>
      <c r="G2354" s="29"/>
      <c r="H2354" s="28"/>
      <c r="I2354" s="29"/>
    </row>
    <row r="2355" spans="6:9" x14ac:dyDescent="0.3">
      <c r="F2355" s="29"/>
      <c r="G2355" s="29"/>
      <c r="H2355" s="28"/>
      <c r="I2355" s="29"/>
    </row>
    <row r="2356" spans="6:9" x14ac:dyDescent="0.3">
      <c r="F2356" s="29"/>
      <c r="G2356" s="29"/>
      <c r="H2356" s="28"/>
      <c r="I2356" s="29"/>
    </row>
    <row r="2357" spans="6:9" x14ac:dyDescent="0.3">
      <c r="F2357" s="29"/>
      <c r="G2357" s="29"/>
      <c r="H2357" s="28"/>
      <c r="I2357" s="29"/>
    </row>
    <row r="2358" spans="6:9" x14ac:dyDescent="0.3">
      <c r="F2358" s="29"/>
      <c r="G2358" s="29"/>
      <c r="H2358" s="28"/>
      <c r="I2358" s="29"/>
    </row>
    <row r="2359" spans="6:9" x14ac:dyDescent="0.3">
      <c r="F2359" s="29"/>
      <c r="G2359" s="29"/>
      <c r="H2359" s="28"/>
      <c r="I2359" s="29"/>
    </row>
    <row r="2360" spans="6:9" x14ac:dyDescent="0.3">
      <c r="F2360" s="29"/>
      <c r="G2360" s="29"/>
      <c r="H2360" s="28"/>
      <c r="I2360" s="29"/>
    </row>
    <row r="2361" spans="6:9" x14ac:dyDescent="0.3">
      <c r="F2361" s="29"/>
      <c r="G2361" s="29"/>
      <c r="H2361" s="28"/>
      <c r="I2361" s="29"/>
    </row>
    <row r="2362" spans="6:9" x14ac:dyDescent="0.3">
      <c r="F2362" s="29"/>
      <c r="G2362" s="29"/>
      <c r="H2362" s="28"/>
      <c r="I2362" s="29"/>
    </row>
    <row r="2363" spans="6:9" x14ac:dyDescent="0.3">
      <c r="F2363" s="29"/>
      <c r="G2363" s="29"/>
      <c r="H2363" s="28"/>
      <c r="I2363" s="29"/>
    </row>
    <row r="2364" spans="6:9" x14ac:dyDescent="0.3">
      <c r="F2364" s="29"/>
      <c r="G2364" s="29"/>
      <c r="H2364" s="28"/>
      <c r="I2364" s="29"/>
    </row>
    <row r="2365" spans="6:9" x14ac:dyDescent="0.3">
      <c r="F2365" s="29"/>
      <c r="G2365" s="29"/>
      <c r="H2365" s="28"/>
      <c r="I2365" s="29"/>
    </row>
    <row r="2366" spans="6:9" x14ac:dyDescent="0.3">
      <c r="F2366" s="29"/>
      <c r="G2366" s="29"/>
      <c r="H2366" s="28"/>
      <c r="I2366" s="29"/>
    </row>
    <row r="2367" spans="6:9" x14ac:dyDescent="0.3">
      <c r="F2367" s="29"/>
      <c r="G2367" s="29"/>
      <c r="H2367" s="28"/>
      <c r="I2367" s="29"/>
    </row>
    <row r="2368" spans="6:9" x14ac:dyDescent="0.3">
      <c r="F2368" s="29"/>
      <c r="G2368" s="29"/>
      <c r="H2368" s="28"/>
      <c r="I2368" s="29"/>
    </row>
    <row r="2369" spans="6:9" x14ac:dyDescent="0.3">
      <c r="F2369" s="29"/>
      <c r="G2369" s="29"/>
      <c r="H2369" s="28"/>
      <c r="I2369" s="29"/>
    </row>
    <row r="2370" spans="6:9" x14ac:dyDescent="0.3">
      <c r="F2370" s="29"/>
      <c r="G2370" s="29"/>
      <c r="H2370" s="28"/>
      <c r="I2370" s="29"/>
    </row>
    <row r="2371" spans="6:9" x14ac:dyDescent="0.3">
      <c r="F2371" s="29"/>
      <c r="G2371" s="29"/>
      <c r="H2371" s="28"/>
      <c r="I2371" s="29"/>
    </row>
    <row r="2372" spans="6:9" x14ac:dyDescent="0.3">
      <c r="F2372" s="29"/>
      <c r="G2372" s="29"/>
      <c r="H2372" s="28"/>
      <c r="I2372" s="29"/>
    </row>
    <row r="2373" spans="6:9" x14ac:dyDescent="0.3">
      <c r="F2373" s="29"/>
      <c r="G2373" s="29"/>
      <c r="H2373" s="28"/>
      <c r="I2373" s="29"/>
    </row>
    <row r="2374" spans="6:9" x14ac:dyDescent="0.3">
      <c r="F2374" s="29"/>
      <c r="G2374" s="29"/>
      <c r="H2374" s="28"/>
      <c r="I2374" s="29"/>
    </row>
    <row r="2375" spans="6:9" x14ac:dyDescent="0.3">
      <c r="F2375" s="29"/>
      <c r="G2375" s="29"/>
      <c r="H2375" s="28"/>
      <c r="I2375" s="29"/>
    </row>
    <row r="2376" spans="6:9" x14ac:dyDescent="0.3">
      <c r="F2376" s="29"/>
      <c r="G2376" s="29"/>
      <c r="H2376" s="28"/>
      <c r="I2376" s="29"/>
    </row>
    <row r="2377" spans="6:9" x14ac:dyDescent="0.3">
      <c r="F2377" s="29"/>
      <c r="G2377" s="29"/>
      <c r="H2377" s="28"/>
      <c r="I2377" s="29"/>
    </row>
    <row r="2378" spans="6:9" x14ac:dyDescent="0.3">
      <c r="F2378" s="29"/>
      <c r="G2378" s="29"/>
      <c r="H2378" s="28"/>
      <c r="I2378" s="29"/>
    </row>
    <row r="2379" spans="6:9" x14ac:dyDescent="0.3">
      <c r="F2379" s="29"/>
      <c r="G2379" s="29"/>
      <c r="H2379" s="28"/>
      <c r="I2379" s="29"/>
    </row>
    <row r="2380" spans="6:9" x14ac:dyDescent="0.3">
      <c r="F2380" s="29"/>
      <c r="G2380" s="29"/>
      <c r="H2380" s="28"/>
      <c r="I2380" s="29"/>
    </row>
    <row r="2381" spans="6:9" x14ac:dyDescent="0.3">
      <c r="F2381" s="29"/>
      <c r="G2381" s="29"/>
      <c r="H2381" s="28"/>
      <c r="I2381" s="29"/>
    </row>
    <row r="2382" spans="6:9" x14ac:dyDescent="0.3">
      <c r="F2382" s="29"/>
      <c r="G2382" s="29"/>
      <c r="H2382" s="28"/>
      <c r="I2382" s="29"/>
    </row>
    <row r="2383" spans="6:9" x14ac:dyDescent="0.3">
      <c r="F2383" s="29"/>
      <c r="G2383" s="29"/>
      <c r="H2383" s="28"/>
      <c r="I2383" s="29"/>
    </row>
    <row r="2384" spans="6:9" x14ac:dyDescent="0.3">
      <c r="F2384" s="29"/>
      <c r="G2384" s="29"/>
      <c r="H2384" s="28"/>
      <c r="I2384" s="29"/>
    </row>
    <row r="2385" spans="6:9" x14ac:dyDescent="0.3">
      <c r="F2385" s="29"/>
      <c r="G2385" s="29"/>
      <c r="H2385" s="28"/>
      <c r="I2385" s="29"/>
    </row>
    <row r="2386" spans="6:9" x14ac:dyDescent="0.3">
      <c r="F2386" s="29"/>
      <c r="G2386" s="29"/>
      <c r="H2386" s="28"/>
      <c r="I2386" s="29"/>
    </row>
    <row r="2387" spans="6:9" x14ac:dyDescent="0.3">
      <c r="F2387" s="29"/>
      <c r="G2387" s="29"/>
      <c r="H2387" s="28"/>
      <c r="I2387" s="29"/>
    </row>
    <row r="2388" spans="6:9" x14ac:dyDescent="0.3">
      <c r="F2388" s="29"/>
      <c r="G2388" s="29"/>
      <c r="H2388" s="28"/>
      <c r="I2388" s="29"/>
    </row>
    <row r="2389" spans="6:9" x14ac:dyDescent="0.3">
      <c r="F2389" s="29"/>
      <c r="G2389" s="29"/>
      <c r="H2389" s="28"/>
      <c r="I2389" s="29"/>
    </row>
    <row r="2390" spans="6:9" x14ac:dyDescent="0.3">
      <c r="F2390" s="29"/>
      <c r="G2390" s="29"/>
      <c r="H2390" s="28"/>
      <c r="I2390" s="29"/>
    </row>
    <row r="2391" spans="6:9" x14ac:dyDescent="0.3">
      <c r="F2391" s="29"/>
      <c r="G2391" s="29"/>
      <c r="H2391" s="28"/>
      <c r="I2391" s="29"/>
    </row>
    <row r="2392" spans="6:9" x14ac:dyDescent="0.3">
      <c r="F2392" s="29"/>
      <c r="G2392" s="29"/>
      <c r="H2392" s="28"/>
      <c r="I2392" s="29"/>
    </row>
    <row r="2393" spans="6:9" x14ac:dyDescent="0.3">
      <c r="F2393" s="29"/>
      <c r="G2393" s="29"/>
      <c r="H2393" s="28"/>
      <c r="I2393" s="29"/>
    </row>
    <row r="2394" spans="6:9" x14ac:dyDescent="0.3">
      <c r="F2394" s="29"/>
      <c r="G2394" s="29"/>
      <c r="H2394" s="28"/>
      <c r="I2394" s="29"/>
    </row>
    <row r="2395" spans="6:9" x14ac:dyDescent="0.3">
      <c r="F2395" s="29"/>
      <c r="G2395" s="29"/>
      <c r="H2395" s="28"/>
      <c r="I2395" s="29"/>
    </row>
    <row r="2396" spans="6:9" x14ac:dyDescent="0.3">
      <c r="F2396" s="29"/>
      <c r="G2396" s="29"/>
      <c r="H2396" s="28"/>
      <c r="I2396" s="29"/>
    </row>
    <row r="2397" spans="6:9" x14ac:dyDescent="0.3">
      <c r="F2397" s="29"/>
      <c r="G2397" s="29"/>
      <c r="H2397" s="28"/>
      <c r="I2397" s="29"/>
    </row>
    <row r="2398" spans="6:9" x14ac:dyDescent="0.3">
      <c r="F2398" s="29"/>
      <c r="G2398" s="29"/>
      <c r="H2398" s="28"/>
      <c r="I2398" s="29"/>
    </row>
    <row r="2399" spans="6:9" x14ac:dyDescent="0.3">
      <c r="F2399" s="29"/>
      <c r="G2399" s="29"/>
      <c r="H2399" s="28"/>
      <c r="I2399" s="29"/>
    </row>
    <row r="2400" spans="6:9" x14ac:dyDescent="0.3">
      <c r="F2400" s="29"/>
      <c r="G2400" s="29"/>
      <c r="H2400" s="28"/>
      <c r="I2400" s="29"/>
    </row>
    <row r="2401" spans="6:9" x14ac:dyDescent="0.3">
      <c r="F2401" s="29"/>
      <c r="G2401" s="29"/>
      <c r="H2401" s="28"/>
      <c r="I2401" s="29"/>
    </row>
    <row r="2402" spans="6:9" x14ac:dyDescent="0.3">
      <c r="F2402" s="29"/>
      <c r="G2402" s="29"/>
      <c r="H2402" s="28"/>
      <c r="I2402" s="29"/>
    </row>
    <row r="2403" spans="6:9" x14ac:dyDescent="0.3">
      <c r="F2403" s="29"/>
      <c r="G2403" s="29"/>
      <c r="H2403" s="28"/>
      <c r="I2403" s="29"/>
    </row>
    <row r="2404" spans="6:9" x14ac:dyDescent="0.3">
      <c r="F2404" s="29"/>
      <c r="G2404" s="29"/>
      <c r="H2404" s="28"/>
      <c r="I2404" s="29"/>
    </row>
    <row r="2405" spans="6:9" x14ac:dyDescent="0.3">
      <c r="F2405" s="29"/>
      <c r="G2405" s="29"/>
      <c r="H2405" s="28"/>
      <c r="I2405" s="29"/>
    </row>
    <row r="2406" spans="6:9" x14ac:dyDescent="0.3">
      <c r="F2406" s="29"/>
      <c r="G2406" s="29"/>
      <c r="H2406" s="28"/>
      <c r="I2406" s="29"/>
    </row>
    <row r="2407" spans="6:9" x14ac:dyDescent="0.3">
      <c r="F2407" s="29"/>
      <c r="G2407" s="29"/>
      <c r="H2407" s="28"/>
      <c r="I2407" s="29"/>
    </row>
    <row r="2408" spans="6:9" x14ac:dyDescent="0.3">
      <c r="F2408" s="29"/>
      <c r="G2408" s="29"/>
      <c r="H2408" s="28"/>
      <c r="I2408" s="29"/>
    </row>
    <row r="2409" spans="6:9" x14ac:dyDescent="0.3">
      <c r="F2409" s="29"/>
      <c r="G2409" s="29"/>
      <c r="H2409" s="28"/>
      <c r="I2409" s="29"/>
    </row>
    <row r="2410" spans="6:9" x14ac:dyDescent="0.3">
      <c r="F2410" s="29"/>
      <c r="G2410" s="29"/>
      <c r="H2410" s="28"/>
      <c r="I2410" s="29"/>
    </row>
    <row r="2411" spans="6:9" x14ac:dyDescent="0.3">
      <c r="F2411" s="29"/>
      <c r="G2411" s="29"/>
      <c r="H2411" s="28"/>
      <c r="I2411" s="29"/>
    </row>
    <row r="2412" spans="6:9" x14ac:dyDescent="0.3">
      <c r="F2412" s="29"/>
      <c r="G2412" s="29"/>
      <c r="H2412" s="28"/>
      <c r="I2412" s="29"/>
    </row>
    <row r="2413" spans="6:9" x14ac:dyDescent="0.3">
      <c r="F2413" s="29"/>
      <c r="G2413" s="29"/>
      <c r="H2413" s="28"/>
      <c r="I2413" s="29"/>
    </row>
    <row r="2414" spans="6:9" x14ac:dyDescent="0.3">
      <c r="F2414" s="29"/>
      <c r="G2414" s="29"/>
      <c r="H2414" s="28"/>
      <c r="I2414" s="29"/>
    </row>
    <row r="2415" spans="6:9" x14ac:dyDescent="0.3">
      <c r="F2415" s="29"/>
      <c r="G2415" s="29"/>
      <c r="H2415" s="28"/>
      <c r="I2415" s="29"/>
    </row>
    <row r="2416" spans="6:9" x14ac:dyDescent="0.3">
      <c r="F2416" s="29"/>
      <c r="G2416" s="29"/>
      <c r="H2416" s="28"/>
      <c r="I2416" s="29"/>
    </row>
    <row r="2417" spans="6:9" x14ac:dyDescent="0.3">
      <c r="F2417" s="29"/>
      <c r="G2417" s="29"/>
      <c r="H2417" s="28"/>
      <c r="I2417" s="29"/>
    </row>
    <row r="2418" spans="6:9" x14ac:dyDescent="0.3">
      <c r="F2418" s="29"/>
      <c r="G2418" s="29"/>
      <c r="H2418" s="28"/>
      <c r="I2418" s="29"/>
    </row>
    <row r="2419" spans="6:9" x14ac:dyDescent="0.3">
      <c r="F2419" s="29"/>
      <c r="G2419" s="29"/>
      <c r="H2419" s="28"/>
      <c r="I2419" s="29"/>
    </row>
    <row r="2420" spans="6:9" x14ac:dyDescent="0.3">
      <c r="F2420" s="29"/>
      <c r="G2420" s="29"/>
      <c r="H2420" s="28"/>
      <c r="I2420" s="29"/>
    </row>
    <row r="2421" spans="6:9" x14ac:dyDescent="0.3">
      <c r="F2421" s="29"/>
      <c r="G2421" s="29"/>
      <c r="H2421" s="28"/>
      <c r="I2421" s="29"/>
    </row>
    <row r="2422" spans="6:9" x14ac:dyDescent="0.3">
      <c r="F2422" s="29"/>
      <c r="G2422" s="29"/>
      <c r="H2422" s="28"/>
      <c r="I2422" s="29"/>
    </row>
    <row r="2423" spans="6:9" x14ac:dyDescent="0.3">
      <c r="F2423" s="29"/>
      <c r="G2423" s="29"/>
      <c r="H2423" s="28"/>
      <c r="I2423" s="29"/>
    </row>
    <row r="2424" spans="6:9" x14ac:dyDescent="0.3">
      <c r="F2424" s="29"/>
      <c r="G2424" s="29"/>
      <c r="H2424" s="28"/>
      <c r="I2424" s="29"/>
    </row>
    <row r="2425" spans="6:9" x14ac:dyDescent="0.3">
      <c r="F2425" s="29"/>
      <c r="G2425" s="29"/>
      <c r="H2425" s="28"/>
      <c r="I2425" s="29"/>
    </row>
    <row r="2426" spans="6:9" x14ac:dyDescent="0.3">
      <c r="F2426" s="29"/>
      <c r="G2426" s="29"/>
      <c r="H2426" s="28"/>
      <c r="I2426" s="29"/>
    </row>
    <row r="2427" spans="6:9" x14ac:dyDescent="0.3">
      <c r="F2427" s="29"/>
      <c r="G2427" s="29"/>
      <c r="H2427" s="28"/>
      <c r="I2427" s="29"/>
    </row>
    <row r="2428" spans="6:9" x14ac:dyDescent="0.3">
      <c r="F2428" s="29"/>
      <c r="G2428" s="29"/>
      <c r="H2428" s="28"/>
      <c r="I2428" s="29"/>
    </row>
    <row r="2429" spans="6:9" x14ac:dyDescent="0.3">
      <c r="F2429" s="29"/>
      <c r="G2429" s="29"/>
      <c r="H2429" s="28"/>
      <c r="I2429" s="29"/>
    </row>
    <row r="2430" spans="6:9" x14ac:dyDescent="0.3">
      <c r="F2430" s="29"/>
      <c r="G2430" s="29"/>
      <c r="H2430" s="28"/>
      <c r="I2430" s="29"/>
    </row>
    <row r="2431" spans="6:9" x14ac:dyDescent="0.3">
      <c r="F2431" s="29"/>
      <c r="G2431" s="29"/>
      <c r="H2431" s="28"/>
      <c r="I2431" s="29"/>
    </row>
    <row r="2432" spans="6:9" x14ac:dyDescent="0.3">
      <c r="F2432" s="29"/>
      <c r="G2432" s="29"/>
      <c r="H2432" s="28"/>
      <c r="I2432" s="29"/>
    </row>
    <row r="2433" spans="6:9" x14ac:dyDescent="0.3">
      <c r="F2433" s="29"/>
      <c r="G2433" s="29"/>
      <c r="H2433" s="28"/>
      <c r="I2433" s="29"/>
    </row>
    <row r="2434" spans="6:9" x14ac:dyDescent="0.3">
      <c r="F2434" s="29"/>
      <c r="G2434" s="29"/>
      <c r="H2434" s="28"/>
      <c r="I2434" s="29"/>
    </row>
    <row r="2435" spans="6:9" x14ac:dyDescent="0.3">
      <c r="F2435" s="29"/>
      <c r="G2435" s="29"/>
      <c r="H2435" s="28"/>
      <c r="I2435" s="29"/>
    </row>
    <row r="2436" spans="6:9" x14ac:dyDescent="0.3">
      <c r="F2436" s="29"/>
      <c r="G2436" s="29"/>
      <c r="H2436" s="28"/>
      <c r="I2436" s="29"/>
    </row>
    <row r="2437" spans="6:9" x14ac:dyDescent="0.3">
      <c r="F2437" s="29"/>
      <c r="G2437" s="29"/>
      <c r="H2437" s="28"/>
      <c r="I2437" s="29"/>
    </row>
    <row r="2438" spans="6:9" x14ac:dyDescent="0.3">
      <c r="F2438" s="29"/>
      <c r="G2438" s="29"/>
      <c r="H2438" s="28"/>
      <c r="I2438" s="29"/>
    </row>
    <row r="2439" spans="6:9" x14ac:dyDescent="0.3">
      <c r="F2439" s="29"/>
      <c r="G2439" s="29"/>
      <c r="H2439" s="28"/>
      <c r="I2439" s="29"/>
    </row>
    <row r="2440" spans="6:9" x14ac:dyDescent="0.3">
      <c r="F2440" s="29"/>
      <c r="G2440" s="29"/>
      <c r="H2440" s="28"/>
      <c r="I2440" s="29"/>
    </row>
    <row r="2441" spans="6:9" x14ac:dyDescent="0.3">
      <c r="F2441" s="29"/>
      <c r="G2441" s="29"/>
      <c r="H2441" s="28"/>
      <c r="I2441" s="29"/>
    </row>
    <row r="2442" spans="6:9" x14ac:dyDescent="0.3">
      <c r="F2442" s="29"/>
      <c r="G2442" s="29"/>
      <c r="H2442" s="28"/>
      <c r="I2442" s="29"/>
    </row>
    <row r="2443" spans="6:9" x14ac:dyDescent="0.3">
      <c r="F2443" s="29"/>
      <c r="G2443" s="29"/>
      <c r="H2443" s="28"/>
      <c r="I2443" s="29"/>
    </row>
    <row r="2444" spans="6:9" x14ac:dyDescent="0.3">
      <c r="F2444" s="29"/>
      <c r="G2444" s="29"/>
      <c r="H2444" s="28"/>
      <c r="I2444" s="29"/>
    </row>
    <row r="2445" spans="6:9" x14ac:dyDescent="0.3">
      <c r="F2445" s="29"/>
      <c r="G2445" s="29"/>
      <c r="H2445" s="28"/>
      <c r="I2445" s="29"/>
    </row>
    <row r="2446" spans="6:9" x14ac:dyDescent="0.3">
      <c r="F2446" s="29"/>
      <c r="G2446" s="29"/>
      <c r="H2446" s="28"/>
      <c r="I2446" s="29"/>
    </row>
    <row r="2447" spans="6:9" x14ac:dyDescent="0.3">
      <c r="F2447" s="29"/>
      <c r="G2447" s="29"/>
      <c r="H2447" s="28"/>
      <c r="I2447" s="29"/>
    </row>
    <row r="2448" spans="6:9" x14ac:dyDescent="0.3">
      <c r="F2448" s="29"/>
      <c r="G2448" s="29"/>
      <c r="H2448" s="28"/>
      <c r="I2448" s="29"/>
    </row>
    <row r="2449" spans="6:9" x14ac:dyDescent="0.3">
      <c r="F2449" s="29"/>
      <c r="G2449" s="29"/>
      <c r="H2449" s="28"/>
      <c r="I2449" s="29"/>
    </row>
    <row r="2450" spans="6:9" x14ac:dyDescent="0.3">
      <c r="F2450" s="29"/>
      <c r="G2450" s="29"/>
      <c r="H2450" s="28"/>
      <c r="I2450" s="29"/>
    </row>
    <row r="2451" spans="6:9" x14ac:dyDescent="0.3">
      <c r="F2451" s="29"/>
      <c r="G2451" s="29"/>
      <c r="H2451" s="28"/>
      <c r="I2451" s="29"/>
    </row>
    <row r="2452" spans="6:9" x14ac:dyDescent="0.3">
      <c r="F2452" s="29"/>
      <c r="G2452" s="29"/>
      <c r="H2452" s="28"/>
      <c r="I2452" s="29"/>
    </row>
    <row r="2453" spans="6:9" x14ac:dyDescent="0.3">
      <c r="F2453" s="29"/>
      <c r="G2453" s="29"/>
      <c r="H2453" s="28"/>
      <c r="I2453" s="29"/>
    </row>
    <row r="2454" spans="6:9" x14ac:dyDescent="0.3">
      <c r="F2454" s="29"/>
      <c r="G2454" s="29"/>
      <c r="H2454" s="28"/>
      <c r="I2454" s="29"/>
    </row>
    <row r="2455" spans="6:9" x14ac:dyDescent="0.3">
      <c r="F2455" s="29"/>
      <c r="G2455" s="29"/>
      <c r="H2455" s="28"/>
      <c r="I2455" s="29"/>
    </row>
    <row r="2456" spans="6:9" x14ac:dyDescent="0.3">
      <c r="F2456" s="29"/>
      <c r="G2456" s="29"/>
      <c r="H2456" s="28"/>
      <c r="I2456" s="29"/>
    </row>
    <row r="2457" spans="6:9" x14ac:dyDescent="0.3">
      <c r="F2457" s="29"/>
      <c r="G2457" s="29"/>
      <c r="H2457" s="28"/>
      <c r="I2457" s="29"/>
    </row>
    <row r="2458" spans="6:9" x14ac:dyDescent="0.3">
      <c r="F2458" s="29"/>
      <c r="G2458" s="29"/>
      <c r="H2458" s="28"/>
      <c r="I2458" s="29"/>
    </row>
    <row r="2459" spans="6:9" x14ac:dyDescent="0.3">
      <c r="F2459" s="29"/>
      <c r="G2459" s="29"/>
      <c r="H2459" s="28"/>
      <c r="I2459" s="29"/>
    </row>
    <row r="2460" spans="6:9" x14ac:dyDescent="0.3">
      <c r="F2460" s="29"/>
      <c r="G2460" s="29"/>
      <c r="H2460" s="28"/>
      <c r="I2460" s="29"/>
    </row>
    <row r="2461" spans="6:9" x14ac:dyDescent="0.3">
      <c r="F2461" s="29"/>
      <c r="G2461" s="29"/>
      <c r="H2461" s="28"/>
      <c r="I2461" s="29"/>
    </row>
    <row r="2462" spans="6:9" x14ac:dyDescent="0.3">
      <c r="F2462" s="29"/>
      <c r="G2462" s="29"/>
      <c r="H2462" s="28"/>
      <c r="I2462" s="29"/>
    </row>
    <row r="2463" spans="6:9" x14ac:dyDescent="0.3">
      <c r="F2463" s="29"/>
      <c r="G2463" s="29"/>
      <c r="H2463" s="28"/>
      <c r="I2463" s="29"/>
    </row>
    <row r="2464" spans="6:9" x14ac:dyDescent="0.3">
      <c r="F2464" s="29"/>
      <c r="G2464" s="29"/>
      <c r="H2464" s="28"/>
      <c r="I2464" s="29"/>
    </row>
    <row r="2465" spans="6:9" x14ac:dyDescent="0.3">
      <c r="F2465" s="29"/>
      <c r="G2465" s="29"/>
      <c r="H2465" s="28"/>
      <c r="I2465" s="29"/>
    </row>
    <row r="2466" spans="6:9" x14ac:dyDescent="0.3">
      <c r="F2466" s="29"/>
      <c r="G2466" s="29"/>
      <c r="H2466" s="28"/>
      <c r="I2466" s="29"/>
    </row>
    <row r="2467" spans="6:9" x14ac:dyDescent="0.3">
      <c r="F2467" s="29"/>
      <c r="G2467" s="29"/>
      <c r="H2467" s="28"/>
      <c r="I2467" s="29"/>
    </row>
    <row r="2468" spans="6:9" x14ac:dyDescent="0.3">
      <c r="F2468" s="29"/>
      <c r="G2468" s="29"/>
      <c r="H2468" s="28"/>
      <c r="I2468" s="29"/>
    </row>
    <row r="2469" spans="6:9" x14ac:dyDescent="0.3">
      <c r="F2469" s="29"/>
      <c r="G2469" s="29"/>
      <c r="H2469" s="28"/>
      <c r="I2469" s="29"/>
    </row>
    <row r="2470" spans="6:9" x14ac:dyDescent="0.3">
      <c r="F2470" s="29"/>
      <c r="G2470" s="29"/>
      <c r="H2470" s="28"/>
      <c r="I2470" s="29"/>
    </row>
    <row r="2471" spans="6:9" x14ac:dyDescent="0.3">
      <c r="F2471" s="29"/>
      <c r="G2471" s="29"/>
      <c r="H2471" s="28"/>
      <c r="I2471" s="29"/>
    </row>
    <row r="2472" spans="6:9" x14ac:dyDescent="0.3">
      <c r="F2472" s="29"/>
      <c r="G2472" s="29"/>
      <c r="H2472" s="28"/>
      <c r="I2472" s="29"/>
    </row>
    <row r="2473" spans="6:9" x14ac:dyDescent="0.3">
      <c r="F2473" s="29"/>
      <c r="G2473" s="29"/>
      <c r="H2473" s="28"/>
      <c r="I2473" s="29"/>
    </row>
    <row r="2474" spans="6:9" x14ac:dyDescent="0.3">
      <c r="F2474" s="29"/>
      <c r="G2474" s="29"/>
      <c r="H2474" s="28"/>
      <c r="I2474" s="29"/>
    </row>
    <row r="2475" spans="6:9" x14ac:dyDescent="0.3">
      <c r="F2475" s="29"/>
      <c r="G2475" s="29"/>
      <c r="H2475" s="28"/>
      <c r="I2475" s="29"/>
    </row>
    <row r="2476" spans="6:9" x14ac:dyDescent="0.3">
      <c r="F2476" s="29"/>
      <c r="G2476" s="29"/>
      <c r="H2476" s="28"/>
      <c r="I2476" s="29"/>
    </row>
    <row r="2477" spans="6:9" x14ac:dyDescent="0.3">
      <c r="F2477" s="29"/>
      <c r="G2477" s="29"/>
      <c r="H2477" s="28"/>
      <c r="I2477" s="29"/>
    </row>
    <row r="2478" spans="6:9" x14ac:dyDescent="0.3">
      <c r="F2478" s="29"/>
      <c r="G2478" s="29"/>
      <c r="H2478" s="28"/>
      <c r="I2478" s="29"/>
    </row>
    <row r="2479" spans="6:9" x14ac:dyDescent="0.3">
      <c r="F2479" s="29"/>
      <c r="G2479" s="29"/>
      <c r="H2479" s="28"/>
      <c r="I2479" s="29"/>
    </row>
    <row r="2480" spans="6:9" x14ac:dyDescent="0.3">
      <c r="F2480" s="29"/>
      <c r="G2480" s="29"/>
      <c r="H2480" s="28"/>
      <c r="I2480" s="29"/>
    </row>
    <row r="2481" spans="6:9" x14ac:dyDescent="0.3">
      <c r="F2481" s="29"/>
      <c r="G2481" s="29"/>
      <c r="H2481" s="28"/>
      <c r="I2481" s="29"/>
    </row>
    <row r="2482" spans="6:9" x14ac:dyDescent="0.3">
      <c r="F2482" s="29"/>
      <c r="G2482" s="29"/>
      <c r="H2482" s="28"/>
      <c r="I2482" s="29"/>
    </row>
    <row r="2483" spans="6:9" x14ac:dyDescent="0.3">
      <c r="F2483" s="29"/>
      <c r="G2483" s="29"/>
      <c r="H2483" s="28"/>
      <c r="I2483" s="29"/>
    </row>
    <row r="2484" spans="6:9" x14ac:dyDescent="0.3">
      <c r="F2484" s="29"/>
      <c r="G2484" s="29"/>
      <c r="H2484" s="28"/>
      <c r="I2484" s="29"/>
    </row>
    <row r="2485" spans="6:9" x14ac:dyDescent="0.3">
      <c r="F2485" s="29"/>
      <c r="G2485" s="29"/>
      <c r="H2485" s="28"/>
      <c r="I2485" s="29"/>
    </row>
    <row r="2486" spans="6:9" x14ac:dyDescent="0.3">
      <c r="F2486" s="29"/>
      <c r="G2486" s="29"/>
      <c r="H2486" s="28"/>
      <c r="I2486" s="29"/>
    </row>
    <row r="2487" spans="6:9" x14ac:dyDescent="0.3">
      <c r="F2487" s="29"/>
      <c r="G2487" s="29"/>
      <c r="H2487" s="28"/>
      <c r="I2487" s="29"/>
    </row>
    <row r="2488" spans="6:9" x14ac:dyDescent="0.3">
      <c r="F2488" s="29"/>
      <c r="G2488" s="29"/>
      <c r="H2488" s="28"/>
      <c r="I2488" s="29"/>
    </row>
    <row r="2489" spans="6:9" x14ac:dyDescent="0.3">
      <c r="F2489" s="29"/>
      <c r="G2489" s="29"/>
      <c r="H2489" s="28"/>
      <c r="I2489" s="29"/>
    </row>
    <row r="2490" spans="6:9" x14ac:dyDescent="0.3">
      <c r="F2490" s="29"/>
      <c r="G2490" s="29"/>
      <c r="H2490" s="28"/>
      <c r="I2490" s="29"/>
    </row>
    <row r="2491" spans="6:9" x14ac:dyDescent="0.3">
      <c r="F2491" s="29"/>
      <c r="G2491" s="29"/>
      <c r="H2491" s="28"/>
      <c r="I2491" s="29"/>
    </row>
    <row r="2492" spans="6:9" x14ac:dyDescent="0.3">
      <c r="F2492" s="29"/>
      <c r="G2492" s="29"/>
      <c r="H2492" s="28"/>
      <c r="I2492" s="29"/>
    </row>
    <row r="2493" spans="6:9" x14ac:dyDescent="0.3">
      <c r="F2493" s="29"/>
      <c r="G2493" s="29"/>
      <c r="H2493" s="28"/>
      <c r="I2493" s="29"/>
    </row>
    <row r="2494" spans="6:9" x14ac:dyDescent="0.3">
      <c r="F2494" s="29"/>
      <c r="G2494" s="29"/>
      <c r="H2494" s="28"/>
      <c r="I2494" s="29"/>
    </row>
    <row r="2495" spans="6:9" x14ac:dyDescent="0.3">
      <c r="F2495" s="29"/>
      <c r="G2495" s="29"/>
      <c r="H2495" s="28"/>
      <c r="I2495" s="29"/>
    </row>
    <row r="2496" spans="6:9" x14ac:dyDescent="0.3">
      <c r="F2496" s="29"/>
      <c r="G2496" s="29"/>
      <c r="H2496" s="28"/>
      <c r="I2496" s="29"/>
    </row>
    <row r="2497" spans="6:9" x14ac:dyDescent="0.3">
      <c r="F2497" s="29"/>
      <c r="G2497" s="29"/>
      <c r="H2497" s="28"/>
      <c r="I2497" s="29"/>
    </row>
    <row r="2498" spans="6:9" x14ac:dyDescent="0.3">
      <c r="F2498" s="29"/>
      <c r="G2498" s="29"/>
      <c r="H2498" s="28"/>
      <c r="I2498" s="29"/>
    </row>
    <row r="2499" spans="6:9" x14ac:dyDescent="0.3">
      <c r="F2499" s="29"/>
      <c r="G2499" s="29"/>
      <c r="H2499" s="28"/>
      <c r="I2499" s="29"/>
    </row>
    <row r="2500" spans="6:9" x14ac:dyDescent="0.3">
      <c r="F2500" s="29"/>
      <c r="G2500" s="29"/>
      <c r="H2500" s="28"/>
      <c r="I2500" s="29"/>
    </row>
    <row r="2501" spans="6:9" x14ac:dyDescent="0.3">
      <c r="F2501" s="29"/>
      <c r="G2501" s="29"/>
      <c r="H2501" s="28"/>
      <c r="I2501" s="29"/>
    </row>
    <row r="2502" spans="6:9" x14ac:dyDescent="0.3">
      <c r="F2502" s="29"/>
      <c r="G2502" s="29"/>
      <c r="H2502" s="28"/>
      <c r="I2502" s="29"/>
    </row>
    <row r="2503" spans="6:9" x14ac:dyDescent="0.3">
      <c r="F2503" s="29"/>
      <c r="G2503" s="29"/>
      <c r="H2503" s="28"/>
      <c r="I2503" s="29"/>
    </row>
    <row r="2504" spans="6:9" x14ac:dyDescent="0.3">
      <c r="F2504" s="29"/>
      <c r="G2504" s="29"/>
      <c r="H2504" s="28"/>
      <c r="I2504" s="29"/>
    </row>
    <row r="2505" spans="6:9" x14ac:dyDescent="0.3">
      <c r="F2505" s="29"/>
      <c r="G2505" s="29"/>
      <c r="H2505" s="28"/>
      <c r="I2505" s="29"/>
    </row>
    <row r="2506" spans="6:9" x14ac:dyDescent="0.3">
      <c r="F2506" s="29"/>
      <c r="G2506" s="29"/>
      <c r="H2506" s="28"/>
      <c r="I2506" s="29"/>
    </row>
    <row r="2507" spans="6:9" x14ac:dyDescent="0.3">
      <c r="F2507" s="29"/>
      <c r="G2507" s="29"/>
      <c r="H2507" s="28"/>
      <c r="I2507" s="29"/>
    </row>
    <row r="2508" spans="6:9" x14ac:dyDescent="0.3">
      <c r="F2508" s="29"/>
      <c r="G2508" s="29"/>
      <c r="H2508" s="28"/>
      <c r="I2508" s="29"/>
    </row>
    <row r="2509" spans="6:9" x14ac:dyDescent="0.3">
      <c r="F2509" s="29"/>
      <c r="G2509" s="29"/>
      <c r="H2509" s="28"/>
      <c r="I2509" s="29"/>
    </row>
    <row r="2510" spans="6:9" x14ac:dyDescent="0.3">
      <c r="F2510" s="29"/>
      <c r="G2510" s="29"/>
      <c r="H2510" s="28"/>
      <c r="I2510" s="29"/>
    </row>
    <row r="2511" spans="6:9" x14ac:dyDescent="0.3">
      <c r="F2511" s="29"/>
      <c r="G2511" s="29"/>
      <c r="H2511" s="28"/>
      <c r="I2511" s="29"/>
    </row>
    <row r="2512" spans="6:9" x14ac:dyDescent="0.3">
      <c r="F2512" s="29"/>
      <c r="G2512" s="29"/>
      <c r="H2512" s="28"/>
      <c r="I2512" s="29"/>
    </row>
    <row r="2513" spans="6:9" x14ac:dyDescent="0.3">
      <c r="F2513" s="29"/>
      <c r="G2513" s="29"/>
      <c r="H2513" s="28"/>
      <c r="I2513" s="29"/>
    </row>
    <row r="2514" spans="6:9" x14ac:dyDescent="0.3">
      <c r="F2514" s="29"/>
      <c r="G2514" s="29"/>
      <c r="H2514" s="28"/>
      <c r="I2514" s="29"/>
    </row>
    <row r="2515" spans="6:9" x14ac:dyDescent="0.3">
      <c r="F2515" s="29"/>
      <c r="G2515" s="29"/>
      <c r="H2515" s="28"/>
      <c r="I2515" s="29"/>
    </row>
    <row r="2516" spans="6:9" x14ac:dyDescent="0.3">
      <c r="F2516" s="29"/>
      <c r="G2516" s="29"/>
      <c r="H2516" s="28"/>
      <c r="I2516" s="29"/>
    </row>
    <row r="2517" spans="6:9" x14ac:dyDescent="0.3">
      <c r="F2517" s="29"/>
      <c r="G2517" s="29"/>
      <c r="H2517" s="28"/>
      <c r="I2517" s="29"/>
    </row>
    <row r="2518" spans="6:9" x14ac:dyDescent="0.3">
      <c r="F2518" s="29"/>
      <c r="G2518" s="29"/>
      <c r="H2518" s="28"/>
      <c r="I2518" s="29"/>
    </row>
    <row r="2519" spans="6:9" x14ac:dyDescent="0.3">
      <c r="F2519" s="29"/>
      <c r="G2519" s="29"/>
      <c r="H2519" s="28"/>
      <c r="I2519" s="29"/>
    </row>
    <row r="2520" spans="6:9" x14ac:dyDescent="0.3">
      <c r="F2520" s="29"/>
      <c r="G2520" s="29"/>
      <c r="H2520" s="28"/>
      <c r="I2520" s="29"/>
    </row>
    <row r="2521" spans="6:9" x14ac:dyDescent="0.3">
      <c r="F2521" s="29"/>
      <c r="G2521" s="29"/>
      <c r="H2521" s="28"/>
      <c r="I2521" s="29"/>
    </row>
    <row r="2522" spans="6:9" x14ac:dyDescent="0.3">
      <c r="F2522" s="29"/>
      <c r="G2522" s="29"/>
      <c r="H2522" s="28"/>
      <c r="I2522" s="29"/>
    </row>
    <row r="2523" spans="6:9" x14ac:dyDescent="0.3">
      <c r="F2523" s="29"/>
      <c r="G2523" s="29"/>
      <c r="H2523" s="28"/>
      <c r="I2523" s="29"/>
    </row>
    <row r="2524" spans="6:9" x14ac:dyDescent="0.3">
      <c r="F2524" s="29"/>
      <c r="G2524" s="29"/>
      <c r="H2524" s="28"/>
      <c r="I2524" s="29"/>
    </row>
    <row r="2525" spans="6:9" x14ac:dyDescent="0.3">
      <c r="F2525" s="29"/>
      <c r="G2525" s="29"/>
      <c r="H2525" s="28"/>
      <c r="I2525" s="29"/>
    </row>
    <row r="2526" spans="6:9" x14ac:dyDescent="0.3">
      <c r="F2526" s="29"/>
      <c r="G2526" s="29"/>
      <c r="H2526" s="28"/>
      <c r="I2526" s="29"/>
    </row>
    <row r="2527" spans="6:9" x14ac:dyDescent="0.3">
      <c r="F2527" s="29"/>
      <c r="G2527" s="29"/>
      <c r="H2527" s="28"/>
      <c r="I2527" s="29"/>
    </row>
    <row r="2528" spans="6:9" x14ac:dyDescent="0.3">
      <c r="F2528" s="29"/>
      <c r="G2528" s="29"/>
      <c r="H2528" s="28"/>
      <c r="I2528" s="29"/>
    </row>
    <row r="2529" spans="6:9" x14ac:dyDescent="0.3">
      <c r="F2529" s="29"/>
      <c r="G2529" s="29"/>
      <c r="H2529" s="28"/>
      <c r="I2529" s="29"/>
    </row>
    <row r="2530" spans="6:9" x14ac:dyDescent="0.3">
      <c r="F2530" s="29"/>
      <c r="G2530" s="29"/>
      <c r="H2530" s="28"/>
      <c r="I2530" s="29"/>
    </row>
    <row r="2531" spans="6:9" x14ac:dyDescent="0.3">
      <c r="F2531" s="29"/>
      <c r="G2531" s="29"/>
      <c r="H2531" s="28"/>
      <c r="I2531" s="29"/>
    </row>
    <row r="2532" spans="6:9" x14ac:dyDescent="0.3">
      <c r="F2532" s="29"/>
      <c r="G2532" s="29"/>
      <c r="H2532" s="28"/>
      <c r="I2532" s="29"/>
    </row>
    <row r="2533" spans="6:9" x14ac:dyDescent="0.3">
      <c r="F2533" s="29"/>
      <c r="G2533" s="29"/>
      <c r="H2533" s="28"/>
      <c r="I2533" s="29"/>
    </row>
    <row r="2534" spans="6:9" x14ac:dyDescent="0.3">
      <c r="F2534" s="29"/>
      <c r="G2534" s="29"/>
      <c r="H2534" s="28"/>
      <c r="I2534" s="29"/>
    </row>
    <row r="2535" spans="6:9" x14ac:dyDescent="0.3">
      <c r="F2535" s="29"/>
      <c r="G2535" s="29"/>
      <c r="H2535" s="28"/>
      <c r="I2535" s="29"/>
    </row>
    <row r="2536" spans="6:9" x14ac:dyDescent="0.3">
      <c r="F2536" s="29"/>
      <c r="G2536" s="29"/>
      <c r="H2536" s="28"/>
      <c r="I2536" s="29"/>
    </row>
    <row r="2537" spans="6:9" x14ac:dyDescent="0.3">
      <c r="F2537" s="29"/>
      <c r="G2537" s="29"/>
      <c r="H2537" s="28"/>
      <c r="I2537" s="29"/>
    </row>
    <row r="2538" spans="6:9" x14ac:dyDescent="0.3">
      <c r="F2538" s="29"/>
      <c r="G2538" s="29"/>
      <c r="H2538" s="28"/>
      <c r="I2538" s="29"/>
    </row>
    <row r="2539" spans="6:9" x14ac:dyDescent="0.3">
      <c r="F2539" s="29"/>
      <c r="G2539" s="29"/>
      <c r="H2539" s="28"/>
      <c r="I2539" s="29"/>
    </row>
    <row r="2540" spans="6:9" x14ac:dyDescent="0.3">
      <c r="F2540" s="29"/>
      <c r="G2540" s="29"/>
      <c r="H2540" s="28"/>
      <c r="I2540" s="29"/>
    </row>
    <row r="2541" spans="6:9" x14ac:dyDescent="0.3">
      <c r="F2541" s="29"/>
      <c r="G2541" s="29"/>
      <c r="H2541" s="28"/>
      <c r="I2541" s="29"/>
    </row>
    <row r="2542" spans="6:9" x14ac:dyDescent="0.3">
      <c r="F2542" s="29"/>
      <c r="G2542" s="29"/>
      <c r="H2542" s="28"/>
      <c r="I2542" s="29"/>
    </row>
    <row r="2543" spans="6:9" x14ac:dyDescent="0.3">
      <c r="F2543" s="29"/>
      <c r="G2543" s="29"/>
      <c r="H2543" s="28"/>
      <c r="I2543" s="29"/>
    </row>
    <row r="2544" spans="6:9" x14ac:dyDescent="0.3">
      <c r="F2544" s="29"/>
      <c r="G2544" s="29"/>
      <c r="H2544" s="28"/>
      <c r="I2544" s="29"/>
    </row>
    <row r="2545" spans="6:9" x14ac:dyDescent="0.3">
      <c r="F2545" s="29"/>
      <c r="G2545" s="29"/>
      <c r="H2545" s="28"/>
      <c r="I2545" s="29"/>
    </row>
    <row r="2546" spans="6:9" x14ac:dyDescent="0.3">
      <c r="F2546" s="29"/>
      <c r="G2546" s="29"/>
      <c r="H2546" s="28"/>
      <c r="I2546" s="29"/>
    </row>
    <row r="2547" spans="6:9" x14ac:dyDescent="0.3">
      <c r="F2547" s="29"/>
      <c r="G2547" s="29"/>
      <c r="H2547" s="28"/>
      <c r="I2547" s="29"/>
    </row>
    <row r="2548" spans="6:9" x14ac:dyDescent="0.3">
      <c r="F2548" s="29"/>
      <c r="G2548" s="29"/>
      <c r="H2548" s="28"/>
      <c r="I2548" s="29"/>
    </row>
    <row r="2549" spans="6:9" x14ac:dyDescent="0.3">
      <c r="F2549" s="29"/>
      <c r="G2549" s="29"/>
      <c r="H2549" s="28"/>
      <c r="I2549" s="29"/>
    </row>
    <row r="2550" spans="6:9" x14ac:dyDescent="0.3">
      <c r="F2550" s="29"/>
      <c r="G2550" s="29"/>
      <c r="H2550" s="28"/>
      <c r="I2550" s="29"/>
    </row>
    <row r="2551" spans="6:9" x14ac:dyDescent="0.3">
      <c r="F2551" s="29"/>
      <c r="G2551" s="29"/>
      <c r="H2551" s="28"/>
      <c r="I2551" s="29"/>
    </row>
    <row r="2552" spans="6:9" x14ac:dyDescent="0.3">
      <c r="F2552" s="29"/>
      <c r="G2552" s="29"/>
      <c r="H2552" s="28"/>
      <c r="I2552" s="29"/>
    </row>
    <row r="2553" spans="6:9" x14ac:dyDescent="0.3">
      <c r="F2553" s="29"/>
      <c r="G2553" s="29"/>
      <c r="H2553" s="28"/>
      <c r="I2553" s="29"/>
    </row>
    <row r="2554" spans="6:9" x14ac:dyDescent="0.3">
      <c r="F2554" s="29"/>
      <c r="G2554" s="29"/>
      <c r="H2554" s="28"/>
      <c r="I2554" s="29"/>
    </row>
    <row r="2555" spans="6:9" x14ac:dyDescent="0.3">
      <c r="F2555" s="29"/>
      <c r="G2555" s="29"/>
      <c r="H2555" s="28"/>
      <c r="I2555" s="29"/>
    </row>
    <row r="2556" spans="6:9" x14ac:dyDescent="0.3">
      <c r="F2556" s="29"/>
      <c r="G2556" s="29"/>
      <c r="H2556" s="28"/>
      <c r="I2556" s="29"/>
    </row>
    <row r="2557" spans="6:9" x14ac:dyDescent="0.3">
      <c r="F2557" s="29"/>
      <c r="G2557" s="29"/>
      <c r="H2557" s="28"/>
      <c r="I2557" s="29"/>
    </row>
    <row r="2558" spans="6:9" x14ac:dyDescent="0.3">
      <c r="F2558" s="29"/>
      <c r="G2558" s="29"/>
      <c r="H2558" s="28"/>
      <c r="I2558" s="29"/>
    </row>
    <row r="2559" spans="6:9" x14ac:dyDescent="0.3">
      <c r="F2559" s="29"/>
      <c r="G2559" s="29"/>
      <c r="H2559" s="28"/>
      <c r="I2559" s="29"/>
    </row>
    <row r="2560" spans="6:9" x14ac:dyDescent="0.3">
      <c r="F2560" s="29"/>
      <c r="G2560" s="29"/>
      <c r="H2560" s="28"/>
      <c r="I2560" s="29"/>
    </row>
    <row r="2561" spans="6:9" x14ac:dyDescent="0.3">
      <c r="F2561" s="29"/>
      <c r="G2561" s="29"/>
      <c r="H2561" s="28"/>
      <c r="I2561" s="29"/>
    </row>
    <row r="2562" spans="6:9" x14ac:dyDescent="0.3">
      <c r="F2562" s="29"/>
      <c r="G2562" s="29"/>
      <c r="H2562" s="28"/>
      <c r="I2562" s="29"/>
    </row>
    <row r="2563" spans="6:9" x14ac:dyDescent="0.3">
      <c r="F2563" s="29"/>
      <c r="G2563" s="29"/>
      <c r="H2563" s="28"/>
      <c r="I2563" s="29"/>
    </row>
    <row r="2564" spans="6:9" x14ac:dyDescent="0.3">
      <c r="F2564" s="29"/>
      <c r="G2564" s="29"/>
      <c r="H2564" s="28"/>
      <c r="I2564" s="29"/>
    </row>
    <row r="2565" spans="6:9" x14ac:dyDescent="0.3">
      <c r="F2565" s="29"/>
      <c r="G2565" s="29"/>
      <c r="H2565" s="28"/>
      <c r="I2565" s="29"/>
    </row>
    <row r="2566" spans="6:9" x14ac:dyDescent="0.3">
      <c r="F2566" s="29"/>
      <c r="G2566" s="29"/>
      <c r="H2566" s="28"/>
      <c r="I2566" s="29"/>
    </row>
    <row r="2567" spans="6:9" x14ac:dyDescent="0.3">
      <c r="F2567" s="29"/>
      <c r="G2567" s="29"/>
      <c r="H2567" s="28"/>
      <c r="I2567" s="29"/>
    </row>
    <row r="2568" spans="6:9" x14ac:dyDescent="0.3">
      <c r="F2568" s="29"/>
      <c r="G2568" s="29"/>
      <c r="H2568" s="28"/>
      <c r="I2568" s="29"/>
    </row>
    <row r="2569" spans="6:9" x14ac:dyDescent="0.3">
      <c r="F2569" s="29"/>
      <c r="G2569" s="29"/>
      <c r="H2569" s="28"/>
      <c r="I2569" s="29"/>
    </row>
    <row r="2570" spans="6:9" x14ac:dyDescent="0.3">
      <c r="F2570" s="29"/>
      <c r="G2570" s="29"/>
      <c r="H2570" s="28"/>
      <c r="I2570" s="29"/>
    </row>
    <row r="2571" spans="6:9" x14ac:dyDescent="0.3">
      <c r="F2571" s="29"/>
      <c r="G2571" s="29"/>
      <c r="H2571" s="28"/>
      <c r="I2571" s="29"/>
    </row>
    <row r="2572" spans="6:9" x14ac:dyDescent="0.3">
      <c r="F2572" s="29"/>
      <c r="G2572" s="29"/>
      <c r="H2572" s="28"/>
      <c r="I2572" s="29"/>
    </row>
    <row r="2573" spans="6:9" x14ac:dyDescent="0.3">
      <c r="F2573" s="29"/>
      <c r="G2573" s="29"/>
      <c r="H2573" s="28"/>
      <c r="I2573" s="29"/>
    </row>
    <row r="2574" spans="6:9" x14ac:dyDescent="0.3">
      <c r="F2574" s="29"/>
      <c r="G2574" s="29"/>
      <c r="H2574" s="28"/>
      <c r="I2574" s="29"/>
    </row>
    <row r="2575" spans="6:9" x14ac:dyDescent="0.3">
      <c r="F2575" s="29"/>
      <c r="G2575" s="29"/>
      <c r="H2575" s="28"/>
      <c r="I2575" s="29"/>
    </row>
    <row r="2576" spans="6:9" x14ac:dyDescent="0.3">
      <c r="F2576" s="29"/>
      <c r="G2576" s="29"/>
      <c r="H2576" s="28"/>
      <c r="I2576" s="29"/>
    </row>
    <row r="2577" spans="6:9" x14ac:dyDescent="0.3">
      <c r="F2577" s="29"/>
      <c r="G2577" s="29"/>
      <c r="H2577" s="28"/>
      <c r="I2577" s="29"/>
    </row>
    <row r="2578" spans="6:9" x14ac:dyDescent="0.3">
      <c r="F2578" s="29"/>
      <c r="G2578" s="29"/>
      <c r="H2578" s="28"/>
      <c r="I2578" s="29"/>
    </row>
    <row r="2579" spans="6:9" x14ac:dyDescent="0.3">
      <c r="F2579" s="29"/>
      <c r="G2579" s="29"/>
      <c r="H2579" s="28"/>
      <c r="I2579" s="29"/>
    </row>
    <row r="2580" spans="6:9" x14ac:dyDescent="0.3">
      <c r="F2580" s="29"/>
      <c r="G2580" s="29"/>
      <c r="H2580" s="28"/>
      <c r="I2580" s="29"/>
    </row>
    <row r="2581" spans="6:9" x14ac:dyDescent="0.3">
      <c r="F2581" s="29"/>
      <c r="G2581" s="29"/>
      <c r="H2581" s="28"/>
      <c r="I2581" s="29"/>
    </row>
    <row r="2582" spans="6:9" x14ac:dyDescent="0.3">
      <c r="F2582" s="29"/>
      <c r="G2582" s="29"/>
      <c r="H2582" s="28"/>
      <c r="I2582" s="29"/>
    </row>
    <row r="2583" spans="6:9" x14ac:dyDescent="0.3">
      <c r="F2583" s="29"/>
      <c r="G2583" s="29"/>
      <c r="H2583" s="28"/>
      <c r="I2583" s="29"/>
    </row>
    <row r="2584" spans="6:9" x14ac:dyDescent="0.3">
      <c r="F2584" s="29"/>
      <c r="G2584" s="29"/>
      <c r="H2584" s="28"/>
      <c r="I2584" s="29"/>
    </row>
    <row r="2585" spans="6:9" x14ac:dyDescent="0.3">
      <c r="F2585" s="29"/>
      <c r="G2585" s="29"/>
      <c r="H2585" s="28"/>
      <c r="I2585" s="29"/>
    </row>
    <row r="2586" spans="6:9" x14ac:dyDescent="0.3">
      <c r="F2586" s="29"/>
      <c r="G2586" s="29"/>
      <c r="H2586" s="28"/>
      <c r="I2586" s="29"/>
    </row>
    <row r="2587" spans="6:9" x14ac:dyDescent="0.3">
      <c r="F2587" s="29"/>
      <c r="G2587" s="29"/>
      <c r="H2587" s="28"/>
      <c r="I2587" s="29"/>
    </row>
    <row r="2588" spans="6:9" x14ac:dyDescent="0.3">
      <c r="F2588" s="29"/>
      <c r="G2588" s="29"/>
      <c r="H2588" s="28"/>
      <c r="I2588" s="29"/>
    </row>
    <row r="2589" spans="6:9" x14ac:dyDescent="0.3">
      <c r="F2589" s="29"/>
      <c r="G2589" s="29"/>
      <c r="H2589" s="28"/>
      <c r="I2589" s="29"/>
    </row>
    <row r="2590" spans="6:9" x14ac:dyDescent="0.3">
      <c r="F2590" s="29"/>
      <c r="G2590" s="29"/>
      <c r="H2590" s="28"/>
      <c r="I2590" s="29"/>
    </row>
    <row r="2591" spans="6:9" x14ac:dyDescent="0.3">
      <c r="F2591" s="29"/>
      <c r="G2591" s="29"/>
      <c r="H2591" s="28"/>
      <c r="I2591" s="29"/>
    </row>
    <row r="2592" spans="6:9" x14ac:dyDescent="0.3">
      <c r="F2592" s="29"/>
      <c r="G2592" s="29"/>
      <c r="H2592" s="28"/>
      <c r="I2592" s="29"/>
    </row>
    <row r="2593" spans="6:9" x14ac:dyDescent="0.3">
      <c r="F2593" s="29"/>
      <c r="G2593" s="29"/>
      <c r="H2593" s="28"/>
      <c r="I2593" s="29"/>
    </row>
    <row r="2594" spans="6:9" x14ac:dyDescent="0.3">
      <c r="F2594" s="29"/>
      <c r="G2594" s="29"/>
      <c r="H2594" s="28"/>
      <c r="I2594" s="29"/>
    </row>
    <row r="2595" spans="6:9" x14ac:dyDescent="0.3">
      <c r="F2595" s="29"/>
      <c r="G2595" s="29"/>
      <c r="H2595" s="28"/>
      <c r="I2595" s="29"/>
    </row>
    <row r="2596" spans="6:9" x14ac:dyDescent="0.3">
      <c r="F2596" s="29"/>
      <c r="G2596" s="29"/>
      <c r="H2596" s="28"/>
      <c r="I2596" s="29"/>
    </row>
    <row r="2597" spans="6:9" x14ac:dyDescent="0.3">
      <c r="F2597" s="29"/>
      <c r="G2597" s="29"/>
      <c r="H2597" s="28"/>
      <c r="I2597" s="29"/>
    </row>
    <row r="2598" spans="6:9" x14ac:dyDescent="0.3">
      <c r="F2598" s="29"/>
      <c r="G2598" s="29"/>
      <c r="H2598" s="28"/>
      <c r="I2598" s="29"/>
    </row>
    <row r="2599" spans="6:9" x14ac:dyDescent="0.3">
      <c r="F2599" s="29"/>
      <c r="G2599" s="29"/>
      <c r="H2599" s="28"/>
      <c r="I2599" s="29"/>
    </row>
    <row r="2600" spans="6:9" x14ac:dyDescent="0.3">
      <c r="F2600" s="29"/>
      <c r="G2600" s="29"/>
      <c r="H2600" s="28"/>
      <c r="I2600" s="29"/>
    </row>
    <row r="2601" spans="6:9" x14ac:dyDescent="0.3">
      <c r="F2601" s="29"/>
      <c r="G2601" s="29"/>
      <c r="H2601" s="28"/>
      <c r="I2601" s="29"/>
    </row>
    <row r="2602" spans="6:9" x14ac:dyDescent="0.3">
      <c r="F2602" s="29"/>
      <c r="G2602" s="29"/>
      <c r="H2602" s="28"/>
      <c r="I2602" s="29"/>
    </row>
    <row r="2603" spans="6:9" x14ac:dyDescent="0.3">
      <c r="F2603" s="29"/>
      <c r="G2603" s="29"/>
      <c r="H2603" s="28"/>
      <c r="I2603" s="29"/>
    </row>
    <row r="2604" spans="6:9" x14ac:dyDescent="0.3">
      <c r="F2604" s="29"/>
      <c r="G2604" s="29"/>
      <c r="H2604" s="28"/>
      <c r="I2604" s="29"/>
    </row>
    <row r="2605" spans="6:9" x14ac:dyDescent="0.3">
      <c r="F2605" s="29"/>
      <c r="G2605" s="29"/>
      <c r="H2605" s="28"/>
      <c r="I2605" s="29"/>
    </row>
    <row r="2606" spans="6:9" x14ac:dyDescent="0.3">
      <c r="F2606" s="29"/>
      <c r="G2606" s="29"/>
      <c r="H2606" s="28"/>
      <c r="I2606" s="29"/>
    </row>
    <row r="2607" spans="6:9" x14ac:dyDescent="0.3">
      <c r="F2607" s="29"/>
      <c r="G2607" s="29"/>
      <c r="H2607" s="28"/>
      <c r="I2607" s="29"/>
    </row>
    <row r="2608" spans="6:9" x14ac:dyDescent="0.3">
      <c r="F2608" s="29"/>
      <c r="G2608" s="29"/>
      <c r="H2608" s="28"/>
      <c r="I2608" s="29"/>
    </row>
    <row r="2609" spans="6:9" x14ac:dyDescent="0.3">
      <c r="F2609" s="29"/>
      <c r="G2609" s="29"/>
      <c r="H2609" s="28"/>
      <c r="I2609" s="29"/>
    </row>
    <row r="2610" spans="6:9" x14ac:dyDescent="0.3">
      <c r="F2610" s="29"/>
      <c r="G2610" s="29"/>
      <c r="H2610" s="28"/>
      <c r="I2610" s="29"/>
    </row>
    <row r="2611" spans="6:9" x14ac:dyDescent="0.3">
      <c r="F2611" s="29"/>
      <c r="G2611" s="29"/>
      <c r="H2611" s="28"/>
      <c r="I2611" s="29"/>
    </row>
    <row r="2612" spans="6:9" x14ac:dyDescent="0.3">
      <c r="F2612" s="29"/>
      <c r="G2612" s="29"/>
      <c r="H2612" s="28"/>
      <c r="I2612" s="29"/>
    </row>
    <row r="2613" spans="6:9" x14ac:dyDescent="0.3">
      <c r="F2613" s="29"/>
      <c r="G2613" s="29"/>
      <c r="H2613" s="28"/>
      <c r="I2613" s="29"/>
    </row>
    <row r="2614" spans="6:9" x14ac:dyDescent="0.3">
      <c r="F2614" s="29"/>
      <c r="G2614" s="29"/>
      <c r="H2614" s="28"/>
      <c r="I2614" s="29"/>
    </row>
    <row r="2615" spans="6:9" x14ac:dyDescent="0.3">
      <c r="F2615" s="29"/>
      <c r="G2615" s="29"/>
      <c r="H2615" s="28"/>
      <c r="I2615" s="29"/>
    </row>
    <row r="2616" spans="6:9" x14ac:dyDescent="0.3">
      <c r="F2616" s="29"/>
      <c r="G2616" s="29"/>
      <c r="H2616" s="28"/>
      <c r="I2616" s="29"/>
    </row>
    <row r="2617" spans="6:9" x14ac:dyDescent="0.3">
      <c r="F2617" s="29"/>
      <c r="G2617" s="29"/>
      <c r="H2617" s="28"/>
      <c r="I2617" s="29"/>
    </row>
    <row r="2618" spans="6:9" x14ac:dyDescent="0.3">
      <c r="F2618" s="29"/>
      <c r="G2618" s="29"/>
      <c r="H2618" s="28"/>
      <c r="I2618" s="29"/>
    </row>
    <row r="2619" spans="6:9" x14ac:dyDescent="0.3">
      <c r="F2619" s="29"/>
      <c r="G2619" s="29"/>
      <c r="H2619" s="28"/>
      <c r="I2619" s="29"/>
    </row>
    <row r="2620" spans="6:9" x14ac:dyDescent="0.3">
      <c r="F2620" s="29"/>
      <c r="G2620" s="29"/>
      <c r="H2620" s="28"/>
      <c r="I2620" s="29"/>
    </row>
    <row r="2621" spans="6:9" x14ac:dyDescent="0.3">
      <c r="F2621" s="29"/>
      <c r="G2621" s="29"/>
      <c r="H2621" s="28"/>
      <c r="I2621" s="29"/>
    </row>
    <row r="2622" spans="6:9" x14ac:dyDescent="0.3">
      <c r="F2622" s="29"/>
      <c r="G2622" s="29"/>
      <c r="H2622" s="28"/>
      <c r="I2622" s="29"/>
    </row>
    <row r="2623" spans="6:9" x14ac:dyDescent="0.3">
      <c r="F2623" s="29"/>
      <c r="G2623" s="29"/>
      <c r="H2623" s="28"/>
      <c r="I2623" s="29"/>
    </row>
    <row r="2624" spans="6:9" x14ac:dyDescent="0.3">
      <c r="F2624" s="29"/>
      <c r="G2624" s="29"/>
      <c r="H2624" s="28"/>
      <c r="I2624" s="29"/>
    </row>
    <row r="2625" spans="6:9" x14ac:dyDescent="0.3">
      <c r="F2625" s="29"/>
      <c r="G2625" s="29"/>
      <c r="H2625" s="28"/>
      <c r="I2625" s="29"/>
    </row>
    <row r="2626" spans="6:9" x14ac:dyDescent="0.3">
      <c r="F2626" s="29"/>
      <c r="G2626" s="29"/>
      <c r="H2626" s="28"/>
      <c r="I2626" s="29"/>
    </row>
    <row r="2627" spans="6:9" x14ac:dyDescent="0.3">
      <c r="F2627" s="29"/>
      <c r="G2627" s="29"/>
      <c r="H2627" s="28"/>
      <c r="I2627" s="29"/>
    </row>
    <row r="2628" spans="6:9" x14ac:dyDescent="0.3">
      <c r="F2628" s="29"/>
      <c r="G2628" s="29"/>
      <c r="H2628" s="28"/>
      <c r="I2628" s="29"/>
    </row>
    <row r="2629" spans="6:9" x14ac:dyDescent="0.3">
      <c r="F2629" s="29"/>
      <c r="G2629" s="29"/>
      <c r="H2629" s="28"/>
      <c r="I2629" s="29"/>
    </row>
    <row r="2630" spans="6:9" x14ac:dyDescent="0.3">
      <c r="F2630" s="29"/>
      <c r="G2630" s="29"/>
      <c r="H2630" s="28"/>
      <c r="I2630" s="29"/>
    </row>
    <row r="2631" spans="6:9" x14ac:dyDescent="0.3">
      <c r="F2631" s="29"/>
      <c r="G2631" s="29"/>
      <c r="H2631" s="28"/>
      <c r="I2631" s="29"/>
    </row>
    <row r="2632" spans="6:9" x14ac:dyDescent="0.3">
      <c r="F2632" s="29"/>
      <c r="G2632" s="29"/>
      <c r="H2632" s="28"/>
      <c r="I2632" s="29"/>
    </row>
    <row r="2633" spans="6:9" x14ac:dyDescent="0.3">
      <c r="F2633" s="29"/>
      <c r="G2633" s="29"/>
      <c r="H2633" s="28"/>
      <c r="I2633" s="29"/>
    </row>
    <row r="2634" spans="6:9" x14ac:dyDescent="0.3">
      <c r="F2634" s="29"/>
      <c r="G2634" s="29"/>
      <c r="H2634" s="28"/>
      <c r="I2634" s="29"/>
    </row>
    <row r="2635" spans="6:9" x14ac:dyDescent="0.3">
      <c r="F2635" s="29"/>
      <c r="G2635" s="29"/>
      <c r="H2635" s="28"/>
      <c r="I2635" s="29"/>
    </row>
    <row r="2636" spans="6:9" x14ac:dyDescent="0.3">
      <c r="F2636" s="29"/>
      <c r="G2636" s="29"/>
      <c r="H2636" s="28"/>
      <c r="I2636" s="29"/>
    </row>
    <row r="2637" spans="6:9" x14ac:dyDescent="0.3">
      <c r="F2637" s="29"/>
      <c r="G2637" s="29"/>
      <c r="H2637" s="28"/>
      <c r="I2637" s="29"/>
    </row>
    <row r="2638" spans="6:9" x14ac:dyDescent="0.3">
      <c r="F2638" s="29"/>
      <c r="G2638" s="29"/>
      <c r="H2638" s="28"/>
      <c r="I2638" s="29"/>
    </row>
    <row r="2639" spans="6:9" x14ac:dyDescent="0.3">
      <c r="F2639" s="29"/>
      <c r="G2639" s="29"/>
      <c r="H2639" s="28"/>
      <c r="I2639" s="29"/>
    </row>
    <row r="2640" spans="6:9" x14ac:dyDescent="0.3">
      <c r="F2640" s="29"/>
      <c r="G2640" s="29"/>
      <c r="H2640" s="28"/>
      <c r="I2640" s="29"/>
    </row>
    <row r="2641" spans="6:9" x14ac:dyDescent="0.3">
      <c r="F2641" s="29"/>
      <c r="G2641" s="29"/>
      <c r="H2641" s="28"/>
      <c r="I2641" s="29"/>
    </row>
    <row r="2642" spans="6:9" x14ac:dyDescent="0.3">
      <c r="F2642" s="29"/>
      <c r="G2642" s="29"/>
      <c r="H2642" s="28"/>
      <c r="I2642" s="29"/>
    </row>
    <row r="2643" spans="6:9" x14ac:dyDescent="0.3">
      <c r="F2643" s="29"/>
      <c r="G2643" s="29"/>
      <c r="H2643" s="28"/>
      <c r="I2643" s="29"/>
    </row>
    <row r="2644" spans="6:9" x14ac:dyDescent="0.3">
      <c r="F2644" s="29"/>
      <c r="G2644" s="29"/>
      <c r="H2644" s="28"/>
      <c r="I2644" s="29"/>
    </row>
    <row r="2645" spans="6:9" x14ac:dyDescent="0.3">
      <c r="F2645" s="29"/>
      <c r="G2645" s="29"/>
      <c r="H2645" s="28"/>
      <c r="I2645" s="29"/>
    </row>
    <row r="2646" spans="6:9" x14ac:dyDescent="0.3">
      <c r="F2646" s="29"/>
      <c r="G2646" s="29"/>
      <c r="H2646" s="28"/>
      <c r="I2646" s="29"/>
    </row>
    <row r="2647" spans="6:9" x14ac:dyDescent="0.3">
      <c r="F2647" s="29"/>
      <c r="G2647" s="29"/>
      <c r="H2647" s="28"/>
      <c r="I2647" s="29"/>
    </row>
    <row r="2648" spans="6:9" x14ac:dyDescent="0.3">
      <c r="F2648" s="29"/>
      <c r="G2648" s="29"/>
      <c r="H2648" s="28"/>
      <c r="I2648" s="29"/>
    </row>
    <row r="2649" spans="6:9" x14ac:dyDescent="0.3">
      <c r="F2649" s="29"/>
      <c r="G2649" s="29"/>
      <c r="H2649" s="28"/>
      <c r="I2649" s="29"/>
    </row>
    <row r="2650" spans="6:9" x14ac:dyDescent="0.3">
      <c r="F2650" s="29"/>
      <c r="G2650" s="29"/>
      <c r="H2650" s="28"/>
      <c r="I2650" s="29"/>
    </row>
    <row r="2651" spans="6:9" x14ac:dyDescent="0.3">
      <c r="F2651" s="29"/>
      <c r="G2651" s="29"/>
      <c r="H2651" s="28"/>
      <c r="I2651" s="29"/>
    </row>
    <row r="2652" spans="6:9" x14ac:dyDescent="0.3">
      <c r="F2652" s="29"/>
      <c r="G2652" s="29"/>
      <c r="H2652" s="28"/>
      <c r="I2652" s="29"/>
    </row>
    <row r="2653" spans="6:9" x14ac:dyDescent="0.3">
      <c r="F2653" s="29"/>
      <c r="G2653" s="29"/>
      <c r="H2653" s="28"/>
      <c r="I2653" s="29"/>
    </row>
    <row r="2654" spans="6:9" x14ac:dyDescent="0.3">
      <c r="F2654" s="29"/>
      <c r="G2654" s="29"/>
      <c r="H2654" s="28"/>
      <c r="I2654" s="29"/>
    </row>
    <row r="2655" spans="6:9" x14ac:dyDescent="0.3">
      <c r="F2655" s="29"/>
      <c r="G2655" s="29"/>
      <c r="H2655" s="28"/>
      <c r="I2655" s="29"/>
    </row>
    <row r="2656" spans="6:9" x14ac:dyDescent="0.3">
      <c r="F2656" s="29"/>
      <c r="G2656" s="29"/>
      <c r="H2656" s="28"/>
      <c r="I2656" s="29"/>
    </row>
    <row r="2657" spans="6:9" x14ac:dyDescent="0.3">
      <c r="F2657" s="29"/>
      <c r="G2657" s="29"/>
      <c r="H2657" s="28"/>
      <c r="I2657" s="29"/>
    </row>
    <row r="2658" spans="6:9" x14ac:dyDescent="0.3">
      <c r="F2658" s="29"/>
      <c r="G2658" s="29"/>
      <c r="H2658" s="28"/>
      <c r="I2658" s="29"/>
    </row>
    <row r="2659" spans="6:9" x14ac:dyDescent="0.3">
      <c r="F2659" s="29"/>
      <c r="G2659" s="29"/>
      <c r="H2659" s="28"/>
      <c r="I2659" s="29"/>
    </row>
    <row r="2660" spans="6:9" x14ac:dyDescent="0.3">
      <c r="F2660" s="29"/>
      <c r="G2660" s="29"/>
      <c r="H2660" s="28"/>
      <c r="I2660" s="29"/>
    </row>
    <row r="2661" spans="6:9" x14ac:dyDescent="0.3">
      <c r="F2661" s="29"/>
      <c r="G2661" s="29"/>
      <c r="H2661" s="28"/>
      <c r="I2661" s="29"/>
    </row>
    <row r="2662" spans="6:9" x14ac:dyDescent="0.3">
      <c r="F2662" s="29"/>
      <c r="G2662" s="29"/>
      <c r="H2662" s="28"/>
      <c r="I2662" s="29"/>
    </row>
    <row r="2663" spans="6:9" x14ac:dyDescent="0.3">
      <c r="F2663" s="29"/>
      <c r="G2663" s="29"/>
      <c r="H2663" s="28"/>
      <c r="I2663" s="29"/>
    </row>
    <row r="2664" spans="6:9" x14ac:dyDescent="0.3">
      <c r="F2664" s="29"/>
      <c r="G2664" s="29"/>
      <c r="H2664" s="28"/>
      <c r="I2664" s="29"/>
    </row>
    <row r="2665" spans="6:9" x14ac:dyDescent="0.3">
      <c r="F2665" s="29"/>
      <c r="G2665" s="29"/>
      <c r="H2665" s="28"/>
      <c r="I2665" s="29"/>
    </row>
    <row r="2666" spans="6:9" x14ac:dyDescent="0.3">
      <c r="F2666" s="29"/>
      <c r="G2666" s="29"/>
      <c r="H2666" s="28"/>
      <c r="I2666" s="29"/>
    </row>
    <row r="2667" spans="6:9" x14ac:dyDescent="0.3">
      <c r="F2667" s="29"/>
      <c r="G2667" s="29"/>
      <c r="H2667" s="28"/>
      <c r="I2667" s="29"/>
    </row>
    <row r="2668" spans="6:9" x14ac:dyDescent="0.3">
      <c r="F2668" s="29"/>
      <c r="G2668" s="29"/>
      <c r="H2668" s="28"/>
      <c r="I2668" s="29"/>
    </row>
    <row r="2669" spans="6:9" x14ac:dyDescent="0.3">
      <c r="F2669" s="29"/>
      <c r="G2669" s="29"/>
      <c r="H2669" s="28"/>
      <c r="I2669" s="29"/>
    </row>
    <row r="2670" spans="6:9" x14ac:dyDescent="0.3">
      <c r="F2670" s="29"/>
      <c r="G2670" s="29"/>
      <c r="H2670" s="28"/>
      <c r="I2670" s="29"/>
    </row>
    <row r="2671" spans="6:9" x14ac:dyDescent="0.3">
      <c r="F2671" s="29"/>
      <c r="G2671" s="29"/>
      <c r="H2671" s="28"/>
      <c r="I2671" s="29"/>
    </row>
    <row r="2672" spans="6:9" x14ac:dyDescent="0.3">
      <c r="F2672" s="29"/>
      <c r="G2672" s="29"/>
      <c r="H2672" s="28"/>
      <c r="I2672" s="29"/>
    </row>
    <row r="2673" spans="6:9" x14ac:dyDescent="0.3">
      <c r="F2673" s="29"/>
      <c r="G2673" s="29"/>
      <c r="H2673" s="28"/>
      <c r="I2673" s="29"/>
    </row>
    <row r="2674" spans="6:9" x14ac:dyDescent="0.3">
      <c r="F2674" s="29"/>
      <c r="G2674" s="29"/>
      <c r="H2674" s="28"/>
      <c r="I2674" s="29"/>
    </row>
    <row r="2675" spans="6:9" x14ac:dyDescent="0.3">
      <c r="F2675" s="29"/>
      <c r="G2675" s="29"/>
      <c r="H2675" s="28"/>
      <c r="I2675" s="29"/>
    </row>
    <row r="2676" spans="6:9" x14ac:dyDescent="0.3">
      <c r="F2676" s="29"/>
      <c r="G2676" s="29"/>
      <c r="H2676" s="28"/>
      <c r="I2676" s="29"/>
    </row>
    <row r="2677" spans="6:9" x14ac:dyDescent="0.3">
      <c r="F2677" s="29"/>
      <c r="G2677" s="29"/>
      <c r="H2677" s="28"/>
      <c r="I2677" s="29"/>
    </row>
    <row r="2678" spans="6:9" x14ac:dyDescent="0.3">
      <c r="F2678" s="29"/>
      <c r="G2678" s="29"/>
      <c r="H2678" s="28"/>
      <c r="I2678" s="29"/>
    </row>
    <row r="2679" spans="6:9" x14ac:dyDescent="0.3">
      <c r="F2679" s="29"/>
      <c r="G2679" s="29"/>
      <c r="H2679" s="28"/>
      <c r="I2679" s="29"/>
    </row>
    <row r="2680" spans="6:9" x14ac:dyDescent="0.3">
      <c r="F2680" s="29"/>
      <c r="G2680" s="29"/>
      <c r="H2680" s="28"/>
      <c r="I2680" s="29"/>
    </row>
    <row r="2681" spans="6:9" x14ac:dyDescent="0.3">
      <c r="F2681" s="29"/>
      <c r="G2681" s="29"/>
      <c r="H2681" s="28"/>
      <c r="I2681" s="29"/>
    </row>
    <row r="2682" spans="6:9" x14ac:dyDescent="0.3">
      <c r="F2682" s="29"/>
      <c r="G2682" s="29"/>
      <c r="H2682" s="28"/>
      <c r="I2682" s="29"/>
    </row>
    <row r="2683" spans="6:9" x14ac:dyDescent="0.3">
      <c r="F2683" s="29"/>
      <c r="G2683" s="29"/>
      <c r="H2683" s="28"/>
      <c r="I2683" s="29"/>
    </row>
    <row r="2684" spans="6:9" x14ac:dyDescent="0.3">
      <c r="F2684" s="29"/>
      <c r="G2684" s="29"/>
      <c r="H2684" s="28"/>
      <c r="I2684" s="29"/>
    </row>
    <row r="2685" spans="6:9" x14ac:dyDescent="0.3">
      <c r="F2685" s="29"/>
      <c r="G2685" s="29"/>
      <c r="H2685" s="28"/>
      <c r="I2685" s="29"/>
    </row>
    <row r="2686" spans="6:9" x14ac:dyDescent="0.3">
      <c r="F2686" s="29"/>
      <c r="G2686" s="29"/>
      <c r="H2686" s="28"/>
      <c r="I2686" s="29"/>
    </row>
    <row r="2687" spans="6:9" x14ac:dyDescent="0.3">
      <c r="F2687" s="29"/>
      <c r="G2687" s="29"/>
      <c r="H2687" s="28"/>
      <c r="I2687" s="29"/>
    </row>
    <row r="2688" spans="6:9" x14ac:dyDescent="0.3">
      <c r="F2688" s="29"/>
      <c r="G2688" s="29"/>
      <c r="H2688" s="28"/>
      <c r="I2688" s="29"/>
    </row>
    <row r="2689" spans="6:9" x14ac:dyDescent="0.3">
      <c r="F2689" s="29"/>
      <c r="G2689" s="29"/>
      <c r="H2689" s="28"/>
      <c r="I2689" s="29"/>
    </row>
    <row r="2690" spans="6:9" x14ac:dyDescent="0.3">
      <c r="F2690" s="29"/>
      <c r="G2690" s="29"/>
      <c r="H2690" s="28"/>
      <c r="I2690" s="29"/>
    </row>
    <row r="2691" spans="6:9" x14ac:dyDescent="0.3">
      <c r="F2691" s="29"/>
      <c r="G2691" s="29"/>
      <c r="H2691" s="28"/>
      <c r="I2691" s="29"/>
    </row>
    <row r="2692" spans="6:9" x14ac:dyDescent="0.3">
      <c r="F2692" s="29"/>
      <c r="G2692" s="29"/>
      <c r="H2692" s="28"/>
      <c r="I2692" s="29"/>
    </row>
    <row r="2693" spans="6:9" x14ac:dyDescent="0.3">
      <c r="F2693" s="29"/>
      <c r="G2693" s="29"/>
      <c r="H2693" s="28"/>
      <c r="I2693" s="29"/>
    </row>
    <row r="2694" spans="6:9" x14ac:dyDescent="0.3">
      <c r="F2694" s="29"/>
      <c r="G2694" s="29"/>
      <c r="H2694" s="28"/>
      <c r="I2694" s="29"/>
    </row>
    <row r="2695" spans="6:9" x14ac:dyDescent="0.3">
      <c r="F2695" s="29"/>
      <c r="G2695" s="29"/>
      <c r="H2695" s="28"/>
      <c r="I2695" s="29"/>
    </row>
    <row r="2696" spans="6:9" x14ac:dyDescent="0.3">
      <c r="F2696" s="29"/>
      <c r="G2696" s="29"/>
      <c r="H2696" s="28"/>
      <c r="I2696" s="29"/>
    </row>
    <row r="2697" spans="6:9" x14ac:dyDescent="0.3">
      <c r="F2697" s="29"/>
      <c r="G2697" s="29"/>
      <c r="H2697" s="28"/>
      <c r="I2697" s="29"/>
    </row>
    <row r="2698" spans="6:9" x14ac:dyDescent="0.3">
      <c r="F2698" s="29"/>
      <c r="G2698" s="29"/>
      <c r="H2698" s="28"/>
      <c r="I2698" s="29"/>
    </row>
    <row r="2699" spans="6:9" x14ac:dyDescent="0.3">
      <c r="F2699" s="29"/>
      <c r="G2699" s="29"/>
      <c r="H2699" s="28"/>
      <c r="I2699" s="29"/>
    </row>
    <row r="2700" spans="6:9" x14ac:dyDescent="0.3">
      <c r="F2700" s="29"/>
      <c r="G2700" s="29"/>
      <c r="H2700" s="28"/>
      <c r="I2700" s="29"/>
    </row>
    <row r="2701" spans="6:9" x14ac:dyDescent="0.3">
      <c r="F2701" s="29"/>
      <c r="G2701" s="29"/>
      <c r="H2701" s="28"/>
      <c r="I2701" s="29"/>
    </row>
    <row r="2702" spans="6:9" x14ac:dyDescent="0.3">
      <c r="F2702" s="29"/>
      <c r="G2702" s="29"/>
      <c r="H2702" s="28"/>
      <c r="I2702" s="29"/>
    </row>
    <row r="2703" spans="6:9" x14ac:dyDescent="0.3">
      <c r="F2703" s="29"/>
      <c r="G2703" s="29"/>
      <c r="H2703" s="28"/>
      <c r="I2703" s="29"/>
    </row>
    <row r="2704" spans="6:9" x14ac:dyDescent="0.3">
      <c r="F2704" s="29"/>
      <c r="G2704" s="29"/>
      <c r="H2704" s="28"/>
      <c r="I2704" s="29"/>
    </row>
    <row r="2705" spans="6:9" x14ac:dyDescent="0.3">
      <c r="F2705" s="29"/>
      <c r="G2705" s="29"/>
      <c r="H2705" s="28"/>
      <c r="I2705" s="29"/>
    </row>
    <row r="2706" spans="6:9" x14ac:dyDescent="0.3">
      <c r="F2706" s="29"/>
      <c r="G2706" s="29"/>
      <c r="H2706" s="28"/>
      <c r="I2706" s="29"/>
    </row>
    <row r="2707" spans="6:9" x14ac:dyDescent="0.3">
      <c r="F2707" s="29"/>
      <c r="G2707" s="29"/>
      <c r="H2707" s="28"/>
      <c r="I2707" s="29"/>
    </row>
    <row r="2708" spans="6:9" x14ac:dyDescent="0.3">
      <c r="F2708" s="29"/>
      <c r="G2708" s="29"/>
      <c r="H2708" s="28"/>
      <c r="I2708" s="29"/>
    </row>
    <row r="2709" spans="6:9" x14ac:dyDescent="0.3">
      <c r="F2709" s="29"/>
      <c r="G2709" s="29"/>
      <c r="H2709" s="28"/>
      <c r="I2709" s="29"/>
    </row>
    <row r="2710" spans="6:9" x14ac:dyDescent="0.3">
      <c r="F2710" s="29"/>
      <c r="G2710" s="29"/>
      <c r="H2710" s="28"/>
      <c r="I2710" s="29"/>
    </row>
    <row r="2711" spans="6:9" x14ac:dyDescent="0.3">
      <c r="F2711" s="29"/>
      <c r="G2711" s="29"/>
      <c r="H2711" s="28"/>
      <c r="I2711" s="29"/>
    </row>
    <row r="2712" spans="6:9" x14ac:dyDescent="0.3">
      <c r="F2712" s="29"/>
      <c r="G2712" s="29"/>
      <c r="H2712" s="28"/>
      <c r="I2712" s="29"/>
    </row>
    <row r="2713" spans="6:9" x14ac:dyDescent="0.3">
      <c r="F2713" s="29"/>
      <c r="G2713" s="29"/>
      <c r="H2713" s="28"/>
      <c r="I2713" s="29"/>
    </row>
    <row r="2714" spans="6:9" x14ac:dyDescent="0.3">
      <c r="F2714" s="29"/>
      <c r="G2714" s="29"/>
      <c r="H2714" s="28"/>
      <c r="I2714" s="29"/>
    </row>
    <row r="2715" spans="6:9" x14ac:dyDescent="0.3">
      <c r="F2715" s="29"/>
      <c r="G2715" s="29"/>
      <c r="H2715" s="28"/>
      <c r="I2715" s="29"/>
    </row>
    <row r="2716" spans="6:9" x14ac:dyDescent="0.3">
      <c r="F2716" s="29"/>
      <c r="G2716" s="29"/>
      <c r="H2716" s="28"/>
      <c r="I2716" s="29"/>
    </row>
    <row r="2717" spans="6:9" x14ac:dyDescent="0.3">
      <c r="F2717" s="29"/>
      <c r="G2717" s="29"/>
      <c r="H2717" s="28"/>
      <c r="I2717" s="29"/>
    </row>
    <row r="2718" spans="6:9" x14ac:dyDescent="0.3">
      <c r="F2718" s="29"/>
      <c r="G2718" s="29"/>
      <c r="H2718" s="28"/>
      <c r="I2718" s="29"/>
    </row>
    <row r="2719" spans="6:9" x14ac:dyDescent="0.3">
      <c r="F2719" s="29"/>
      <c r="G2719" s="29"/>
      <c r="H2719" s="28"/>
      <c r="I2719" s="29"/>
    </row>
    <row r="2720" spans="6:9" x14ac:dyDescent="0.3">
      <c r="F2720" s="29"/>
      <c r="G2720" s="29"/>
      <c r="H2720" s="28"/>
      <c r="I2720" s="29"/>
    </row>
    <row r="2721" spans="6:9" x14ac:dyDescent="0.3">
      <c r="F2721" s="29"/>
      <c r="G2721" s="29"/>
      <c r="H2721" s="28"/>
      <c r="I2721" s="29"/>
    </row>
    <row r="2722" spans="6:9" x14ac:dyDescent="0.3">
      <c r="F2722" s="29"/>
      <c r="G2722" s="29"/>
      <c r="H2722" s="28"/>
      <c r="I2722" s="29"/>
    </row>
    <row r="2723" spans="6:9" x14ac:dyDescent="0.3">
      <c r="F2723" s="29"/>
      <c r="G2723" s="29"/>
      <c r="H2723" s="28"/>
      <c r="I2723" s="29"/>
    </row>
    <row r="2724" spans="6:9" x14ac:dyDescent="0.3">
      <c r="F2724" s="29"/>
      <c r="G2724" s="29"/>
      <c r="H2724" s="28"/>
      <c r="I2724" s="29"/>
    </row>
    <row r="2725" spans="6:9" x14ac:dyDescent="0.3">
      <c r="F2725" s="29"/>
      <c r="G2725" s="29"/>
      <c r="H2725" s="28"/>
      <c r="I2725" s="29"/>
    </row>
    <row r="2726" spans="6:9" x14ac:dyDescent="0.3">
      <c r="F2726" s="29"/>
      <c r="G2726" s="29"/>
      <c r="H2726" s="28"/>
      <c r="I2726" s="29"/>
    </row>
    <row r="2727" spans="6:9" x14ac:dyDescent="0.3">
      <c r="F2727" s="29"/>
      <c r="G2727" s="29"/>
      <c r="H2727" s="28"/>
      <c r="I2727" s="29"/>
    </row>
    <row r="2728" spans="6:9" x14ac:dyDescent="0.3">
      <c r="F2728" s="29"/>
      <c r="G2728" s="29"/>
      <c r="H2728" s="28"/>
      <c r="I2728" s="29"/>
    </row>
    <row r="2729" spans="6:9" x14ac:dyDescent="0.3">
      <c r="F2729" s="29"/>
      <c r="G2729" s="29"/>
      <c r="H2729" s="28"/>
      <c r="I2729" s="29"/>
    </row>
    <row r="2730" spans="6:9" x14ac:dyDescent="0.3">
      <c r="F2730" s="29"/>
      <c r="G2730" s="29"/>
      <c r="H2730" s="28"/>
      <c r="I2730" s="29"/>
    </row>
    <row r="2731" spans="6:9" x14ac:dyDescent="0.3">
      <c r="F2731" s="29"/>
      <c r="G2731" s="29"/>
      <c r="H2731" s="28"/>
      <c r="I2731" s="29"/>
    </row>
    <row r="2732" spans="6:9" x14ac:dyDescent="0.3">
      <c r="F2732" s="29"/>
      <c r="G2732" s="29"/>
      <c r="H2732" s="28"/>
      <c r="I2732" s="29"/>
    </row>
    <row r="2733" spans="6:9" x14ac:dyDescent="0.3">
      <c r="F2733" s="29"/>
      <c r="G2733" s="29"/>
      <c r="H2733" s="28"/>
      <c r="I2733" s="29"/>
    </row>
    <row r="2734" spans="6:9" x14ac:dyDescent="0.3">
      <c r="F2734" s="29"/>
      <c r="G2734" s="29"/>
      <c r="H2734" s="28"/>
      <c r="I2734" s="29"/>
    </row>
    <row r="2735" spans="6:9" x14ac:dyDescent="0.3">
      <c r="F2735" s="29"/>
      <c r="G2735" s="29"/>
      <c r="H2735" s="28"/>
      <c r="I2735" s="29"/>
    </row>
    <row r="2736" spans="6:9" x14ac:dyDescent="0.3">
      <c r="F2736" s="29"/>
      <c r="G2736" s="29"/>
      <c r="H2736" s="28"/>
      <c r="I2736" s="29"/>
    </row>
    <row r="2737" spans="6:9" x14ac:dyDescent="0.3">
      <c r="F2737" s="29"/>
      <c r="G2737" s="29"/>
      <c r="H2737" s="28"/>
      <c r="I2737" s="29"/>
    </row>
    <row r="2738" spans="6:9" x14ac:dyDescent="0.3">
      <c r="F2738" s="29"/>
      <c r="G2738" s="29"/>
      <c r="H2738" s="28"/>
      <c r="I2738" s="29"/>
    </row>
    <row r="2739" spans="6:9" x14ac:dyDescent="0.3">
      <c r="F2739" s="29"/>
      <c r="G2739" s="29"/>
      <c r="H2739" s="28"/>
      <c r="I2739" s="29"/>
    </row>
    <row r="2740" spans="6:9" x14ac:dyDescent="0.3">
      <c r="F2740" s="29"/>
      <c r="G2740" s="29"/>
      <c r="H2740" s="28"/>
      <c r="I2740" s="29"/>
    </row>
    <row r="2741" spans="6:9" x14ac:dyDescent="0.3">
      <c r="F2741" s="29"/>
      <c r="G2741" s="29"/>
      <c r="H2741" s="28"/>
      <c r="I2741" s="29"/>
    </row>
    <row r="2742" spans="6:9" x14ac:dyDescent="0.3">
      <c r="F2742" s="29"/>
      <c r="G2742" s="29"/>
      <c r="H2742" s="28"/>
      <c r="I2742" s="29"/>
    </row>
    <row r="2743" spans="6:9" x14ac:dyDescent="0.3">
      <c r="F2743" s="29"/>
      <c r="G2743" s="29"/>
      <c r="H2743" s="28"/>
      <c r="I2743" s="29"/>
    </row>
    <row r="2744" spans="6:9" x14ac:dyDescent="0.3">
      <c r="F2744" s="29"/>
      <c r="G2744" s="29"/>
      <c r="H2744" s="28"/>
      <c r="I2744" s="29"/>
    </row>
    <row r="2745" spans="6:9" x14ac:dyDescent="0.3">
      <c r="F2745" s="29"/>
      <c r="G2745" s="29"/>
      <c r="H2745" s="28"/>
      <c r="I2745" s="29"/>
    </row>
    <row r="2746" spans="6:9" x14ac:dyDescent="0.3">
      <c r="F2746" s="29"/>
      <c r="G2746" s="29"/>
      <c r="H2746" s="28"/>
      <c r="I2746" s="29"/>
    </row>
    <row r="2747" spans="6:9" x14ac:dyDescent="0.3">
      <c r="F2747" s="29"/>
      <c r="G2747" s="29"/>
      <c r="H2747" s="28"/>
      <c r="I2747" s="29"/>
    </row>
    <row r="2748" spans="6:9" x14ac:dyDescent="0.3">
      <c r="F2748" s="29"/>
      <c r="G2748" s="29"/>
      <c r="H2748" s="28"/>
      <c r="I2748" s="29"/>
    </row>
    <row r="2749" spans="6:9" x14ac:dyDescent="0.3">
      <c r="F2749" s="29"/>
      <c r="G2749" s="29"/>
      <c r="H2749" s="28"/>
      <c r="I2749" s="29"/>
    </row>
    <row r="2750" spans="6:9" x14ac:dyDescent="0.3">
      <c r="F2750" s="29"/>
      <c r="G2750" s="29"/>
      <c r="H2750" s="28"/>
      <c r="I2750" s="29"/>
    </row>
    <row r="2751" spans="6:9" x14ac:dyDescent="0.3">
      <c r="F2751" s="29"/>
      <c r="G2751" s="29"/>
      <c r="H2751" s="28"/>
      <c r="I2751" s="29"/>
    </row>
    <row r="2752" spans="6:9" x14ac:dyDescent="0.3">
      <c r="F2752" s="29"/>
      <c r="G2752" s="29"/>
      <c r="H2752" s="28"/>
      <c r="I2752" s="29"/>
    </row>
    <row r="2753" spans="6:9" x14ac:dyDescent="0.3">
      <c r="F2753" s="29"/>
      <c r="G2753" s="29"/>
      <c r="H2753" s="28"/>
      <c r="I2753" s="29"/>
    </row>
    <row r="2754" spans="6:9" x14ac:dyDescent="0.3">
      <c r="F2754" s="29"/>
      <c r="G2754" s="29"/>
      <c r="H2754" s="28"/>
      <c r="I2754" s="29"/>
    </row>
    <row r="2755" spans="6:9" x14ac:dyDescent="0.3">
      <c r="F2755" s="29"/>
      <c r="G2755" s="29"/>
      <c r="H2755" s="28"/>
      <c r="I2755" s="29"/>
    </row>
    <row r="2756" spans="6:9" x14ac:dyDescent="0.3">
      <c r="F2756" s="29"/>
      <c r="G2756" s="29"/>
      <c r="H2756" s="28"/>
      <c r="I2756" s="29"/>
    </row>
    <row r="2757" spans="6:9" x14ac:dyDescent="0.3">
      <c r="F2757" s="29"/>
      <c r="G2757" s="29"/>
      <c r="H2757" s="28"/>
      <c r="I2757" s="29"/>
    </row>
    <row r="2758" spans="6:9" x14ac:dyDescent="0.3">
      <c r="F2758" s="29"/>
      <c r="G2758" s="29"/>
      <c r="H2758" s="28"/>
      <c r="I2758" s="29"/>
    </row>
    <row r="2759" spans="6:9" x14ac:dyDescent="0.3">
      <c r="F2759" s="29"/>
      <c r="G2759" s="29"/>
      <c r="H2759" s="28"/>
      <c r="I2759" s="29"/>
    </row>
    <row r="2760" spans="6:9" x14ac:dyDescent="0.3">
      <c r="F2760" s="29"/>
      <c r="G2760" s="29"/>
      <c r="H2760" s="28"/>
      <c r="I2760" s="29"/>
    </row>
    <row r="2761" spans="6:9" x14ac:dyDescent="0.3">
      <c r="F2761" s="29"/>
      <c r="G2761" s="29"/>
      <c r="H2761" s="28"/>
      <c r="I2761" s="29"/>
    </row>
    <row r="2762" spans="6:9" x14ac:dyDescent="0.3">
      <c r="F2762" s="29"/>
      <c r="G2762" s="29"/>
      <c r="H2762" s="28"/>
      <c r="I2762" s="29"/>
    </row>
    <row r="2763" spans="6:9" x14ac:dyDescent="0.3">
      <c r="F2763" s="29"/>
      <c r="G2763" s="29"/>
      <c r="H2763" s="28"/>
      <c r="I2763" s="29"/>
    </row>
    <row r="2764" spans="6:9" x14ac:dyDescent="0.3">
      <c r="F2764" s="29"/>
      <c r="G2764" s="29"/>
      <c r="H2764" s="28"/>
      <c r="I2764" s="29"/>
    </row>
    <row r="2765" spans="6:9" x14ac:dyDescent="0.3">
      <c r="F2765" s="29"/>
      <c r="G2765" s="29"/>
      <c r="H2765" s="28"/>
      <c r="I2765" s="29"/>
    </row>
    <row r="2766" spans="6:9" x14ac:dyDescent="0.3">
      <c r="F2766" s="29"/>
      <c r="G2766" s="29"/>
      <c r="H2766" s="28"/>
      <c r="I2766" s="29"/>
    </row>
    <row r="2767" spans="6:9" x14ac:dyDescent="0.3">
      <c r="F2767" s="29"/>
      <c r="G2767" s="29"/>
      <c r="H2767" s="28"/>
      <c r="I2767" s="29"/>
    </row>
    <row r="2768" spans="6:9" x14ac:dyDescent="0.3">
      <c r="F2768" s="29"/>
      <c r="G2768" s="29"/>
      <c r="H2768" s="28"/>
      <c r="I2768" s="29"/>
    </row>
    <row r="2769" spans="6:9" x14ac:dyDescent="0.3">
      <c r="F2769" s="29"/>
      <c r="G2769" s="29"/>
      <c r="H2769" s="28"/>
      <c r="I2769" s="29"/>
    </row>
    <row r="2770" spans="6:9" x14ac:dyDescent="0.3">
      <c r="F2770" s="29"/>
      <c r="G2770" s="29"/>
      <c r="H2770" s="28"/>
      <c r="I2770" s="29"/>
    </row>
    <row r="2771" spans="6:9" x14ac:dyDescent="0.3">
      <c r="F2771" s="29"/>
      <c r="G2771" s="29"/>
      <c r="H2771" s="28"/>
      <c r="I2771" s="29"/>
    </row>
    <row r="2772" spans="6:9" x14ac:dyDescent="0.3">
      <c r="F2772" s="29"/>
      <c r="G2772" s="29"/>
      <c r="H2772" s="28"/>
      <c r="I2772" s="29"/>
    </row>
    <row r="2773" spans="6:9" x14ac:dyDescent="0.3">
      <c r="F2773" s="29"/>
      <c r="G2773" s="29"/>
      <c r="H2773" s="28"/>
      <c r="I2773" s="29"/>
    </row>
    <row r="2774" spans="6:9" x14ac:dyDescent="0.3">
      <c r="F2774" s="29"/>
      <c r="G2774" s="29"/>
      <c r="H2774" s="28"/>
      <c r="I2774" s="29"/>
    </row>
    <row r="2775" spans="6:9" x14ac:dyDescent="0.3">
      <c r="F2775" s="29"/>
      <c r="G2775" s="29"/>
      <c r="H2775" s="28"/>
      <c r="I2775" s="29"/>
    </row>
    <row r="2776" spans="6:9" x14ac:dyDescent="0.3">
      <c r="F2776" s="29"/>
      <c r="G2776" s="29"/>
      <c r="H2776" s="28"/>
      <c r="I2776" s="29"/>
    </row>
    <row r="2777" spans="6:9" x14ac:dyDescent="0.3">
      <c r="F2777" s="29"/>
      <c r="G2777" s="29"/>
      <c r="H2777" s="28"/>
      <c r="I2777" s="29"/>
    </row>
    <row r="2778" spans="6:9" x14ac:dyDescent="0.3">
      <c r="F2778" s="29"/>
      <c r="G2778" s="29"/>
      <c r="H2778" s="28"/>
      <c r="I2778" s="29"/>
    </row>
    <row r="2779" spans="6:9" x14ac:dyDescent="0.3">
      <c r="F2779" s="29"/>
      <c r="G2779" s="29"/>
      <c r="H2779" s="28"/>
      <c r="I2779" s="29"/>
    </row>
    <row r="2780" spans="6:9" x14ac:dyDescent="0.3">
      <c r="F2780" s="29"/>
      <c r="G2780" s="29"/>
      <c r="H2780" s="28"/>
      <c r="I2780" s="29"/>
    </row>
    <row r="2781" spans="6:9" x14ac:dyDescent="0.3">
      <c r="F2781" s="29"/>
      <c r="G2781" s="29"/>
      <c r="H2781" s="28"/>
      <c r="I2781" s="29"/>
    </row>
    <row r="2782" spans="6:9" x14ac:dyDescent="0.3">
      <c r="F2782" s="29"/>
      <c r="G2782" s="29"/>
      <c r="H2782" s="28"/>
      <c r="I2782" s="29"/>
    </row>
    <row r="2783" spans="6:9" x14ac:dyDescent="0.3">
      <c r="F2783" s="29"/>
      <c r="G2783" s="29"/>
      <c r="H2783" s="28"/>
      <c r="I2783" s="29"/>
    </row>
    <row r="2784" spans="6:9" x14ac:dyDescent="0.3">
      <c r="F2784" s="29"/>
      <c r="G2784" s="29"/>
      <c r="H2784" s="28"/>
      <c r="I2784" s="29"/>
    </row>
    <row r="2785" spans="6:9" x14ac:dyDescent="0.3">
      <c r="F2785" s="29"/>
      <c r="G2785" s="29"/>
      <c r="H2785" s="28"/>
      <c r="I2785" s="29"/>
    </row>
    <row r="2786" spans="6:9" x14ac:dyDescent="0.3">
      <c r="F2786" s="29"/>
      <c r="G2786" s="29"/>
      <c r="H2786" s="28"/>
      <c r="I2786" s="29"/>
    </row>
    <row r="2787" spans="6:9" x14ac:dyDescent="0.3">
      <c r="F2787" s="29"/>
      <c r="G2787" s="29"/>
      <c r="H2787" s="28"/>
      <c r="I2787" s="29"/>
    </row>
    <row r="2788" spans="6:9" x14ac:dyDescent="0.3">
      <c r="F2788" s="29"/>
      <c r="G2788" s="29"/>
      <c r="H2788" s="28"/>
      <c r="I2788" s="29"/>
    </row>
    <row r="2789" spans="6:9" x14ac:dyDescent="0.3">
      <c r="F2789" s="29"/>
      <c r="G2789" s="29"/>
      <c r="H2789" s="28"/>
      <c r="I2789" s="29"/>
    </row>
    <row r="2790" spans="6:9" x14ac:dyDescent="0.3">
      <c r="F2790" s="29"/>
      <c r="G2790" s="29"/>
      <c r="H2790" s="28"/>
      <c r="I2790" s="29"/>
    </row>
    <row r="2791" spans="6:9" x14ac:dyDescent="0.3">
      <c r="F2791" s="29"/>
      <c r="G2791" s="29"/>
      <c r="H2791" s="28"/>
      <c r="I2791" s="29"/>
    </row>
    <row r="2792" spans="6:9" x14ac:dyDescent="0.3">
      <c r="F2792" s="29"/>
      <c r="G2792" s="29"/>
      <c r="H2792" s="28"/>
      <c r="I2792" s="29"/>
    </row>
    <row r="2793" spans="6:9" x14ac:dyDescent="0.3">
      <c r="F2793" s="29"/>
      <c r="G2793" s="29"/>
      <c r="H2793" s="28"/>
      <c r="I2793" s="29"/>
    </row>
    <row r="2794" spans="6:9" x14ac:dyDescent="0.3">
      <c r="F2794" s="29"/>
      <c r="G2794" s="29"/>
      <c r="H2794" s="28"/>
      <c r="I2794" s="29"/>
    </row>
    <row r="2795" spans="6:9" x14ac:dyDescent="0.3">
      <c r="F2795" s="29"/>
      <c r="G2795" s="29"/>
      <c r="H2795" s="28"/>
      <c r="I2795" s="29"/>
    </row>
    <row r="2796" spans="6:9" x14ac:dyDescent="0.3">
      <c r="F2796" s="29"/>
      <c r="G2796" s="29"/>
      <c r="H2796" s="28"/>
      <c r="I2796" s="29"/>
    </row>
    <row r="2797" spans="6:9" x14ac:dyDescent="0.3">
      <c r="F2797" s="29"/>
      <c r="G2797" s="29"/>
      <c r="H2797" s="28"/>
      <c r="I2797" s="29"/>
    </row>
    <row r="2798" spans="6:9" x14ac:dyDescent="0.3">
      <c r="F2798" s="29"/>
      <c r="G2798" s="29"/>
      <c r="H2798" s="28"/>
      <c r="I2798" s="29"/>
    </row>
    <row r="2799" spans="6:9" x14ac:dyDescent="0.3">
      <c r="F2799" s="29"/>
      <c r="G2799" s="29"/>
      <c r="H2799" s="28"/>
      <c r="I2799" s="29"/>
    </row>
    <row r="2800" spans="6:9" x14ac:dyDescent="0.3">
      <c r="F2800" s="29"/>
      <c r="G2800" s="29"/>
      <c r="H2800" s="28"/>
      <c r="I2800" s="29"/>
    </row>
    <row r="2801" spans="6:9" x14ac:dyDescent="0.3">
      <c r="F2801" s="29"/>
      <c r="G2801" s="29"/>
      <c r="H2801" s="28"/>
      <c r="I2801" s="29"/>
    </row>
    <row r="2802" spans="6:9" x14ac:dyDescent="0.3">
      <c r="F2802" s="29"/>
      <c r="G2802" s="29"/>
      <c r="H2802" s="28"/>
      <c r="I2802" s="29"/>
    </row>
    <row r="2803" spans="6:9" x14ac:dyDescent="0.3">
      <c r="F2803" s="29"/>
      <c r="G2803" s="29"/>
      <c r="H2803" s="28"/>
      <c r="I2803" s="29"/>
    </row>
    <row r="2804" spans="6:9" x14ac:dyDescent="0.3">
      <c r="F2804" s="29"/>
      <c r="G2804" s="29"/>
      <c r="H2804" s="28"/>
      <c r="I2804" s="29"/>
    </row>
    <row r="2805" spans="6:9" x14ac:dyDescent="0.3">
      <c r="F2805" s="29"/>
      <c r="G2805" s="29"/>
      <c r="H2805" s="28"/>
      <c r="I2805" s="29"/>
    </row>
    <row r="2806" spans="6:9" x14ac:dyDescent="0.3">
      <c r="F2806" s="29"/>
      <c r="G2806" s="29"/>
      <c r="H2806" s="28"/>
      <c r="I2806" s="29"/>
    </row>
    <row r="2807" spans="6:9" x14ac:dyDescent="0.3">
      <c r="F2807" s="29"/>
      <c r="G2807" s="29"/>
      <c r="H2807" s="28"/>
      <c r="I2807" s="29"/>
    </row>
    <row r="2808" spans="6:9" x14ac:dyDescent="0.3">
      <c r="F2808" s="29"/>
      <c r="G2808" s="29"/>
      <c r="H2808" s="28"/>
      <c r="I2808" s="29"/>
    </row>
    <row r="2809" spans="6:9" x14ac:dyDescent="0.3">
      <c r="F2809" s="29"/>
      <c r="G2809" s="29"/>
      <c r="H2809" s="28"/>
      <c r="I2809" s="29"/>
    </row>
    <row r="2810" spans="6:9" x14ac:dyDescent="0.3">
      <c r="F2810" s="29"/>
      <c r="G2810" s="29"/>
      <c r="H2810" s="28"/>
      <c r="I2810" s="29"/>
    </row>
    <row r="2811" spans="6:9" x14ac:dyDescent="0.3">
      <c r="F2811" s="29"/>
      <c r="G2811" s="29"/>
      <c r="H2811" s="28"/>
      <c r="I2811" s="29"/>
    </row>
    <row r="2812" spans="6:9" x14ac:dyDescent="0.3">
      <c r="F2812" s="29"/>
      <c r="G2812" s="29"/>
      <c r="H2812" s="28"/>
      <c r="I2812" s="29"/>
    </row>
    <row r="2813" spans="6:9" x14ac:dyDescent="0.3">
      <c r="F2813" s="29"/>
      <c r="G2813" s="29"/>
      <c r="H2813" s="28"/>
      <c r="I2813" s="29"/>
    </row>
    <row r="2814" spans="6:9" x14ac:dyDescent="0.3">
      <c r="F2814" s="29"/>
      <c r="G2814" s="29"/>
      <c r="H2814" s="28"/>
      <c r="I2814" s="29"/>
    </row>
    <row r="2815" spans="6:9" x14ac:dyDescent="0.3">
      <c r="F2815" s="29"/>
      <c r="G2815" s="29"/>
      <c r="H2815" s="28"/>
      <c r="I2815" s="29"/>
    </row>
    <row r="2816" spans="6:9" x14ac:dyDescent="0.3">
      <c r="F2816" s="29"/>
      <c r="G2816" s="29"/>
      <c r="H2816" s="28"/>
      <c r="I2816" s="29"/>
    </row>
    <row r="2817" spans="6:9" x14ac:dyDescent="0.3">
      <c r="F2817" s="29"/>
      <c r="G2817" s="29"/>
      <c r="H2817" s="28"/>
      <c r="I2817" s="29"/>
    </row>
    <row r="2818" spans="6:9" x14ac:dyDescent="0.3">
      <c r="F2818" s="29"/>
      <c r="G2818" s="29"/>
      <c r="H2818" s="28"/>
      <c r="I2818" s="29"/>
    </row>
    <row r="2819" spans="6:9" x14ac:dyDescent="0.3">
      <c r="F2819" s="29"/>
      <c r="G2819" s="29"/>
      <c r="H2819" s="28"/>
      <c r="I2819" s="29"/>
    </row>
    <row r="2820" spans="6:9" x14ac:dyDescent="0.3">
      <c r="F2820" s="29"/>
      <c r="G2820" s="29"/>
      <c r="H2820" s="28"/>
      <c r="I2820" s="29"/>
    </row>
    <row r="2821" spans="6:9" x14ac:dyDescent="0.3">
      <c r="F2821" s="29"/>
      <c r="G2821" s="29"/>
      <c r="H2821" s="28"/>
      <c r="I2821" s="29"/>
    </row>
    <row r="2822" spans="6:9" x14ac:dyDescent="0.3">
      <c r="F2822" s="29"/>
      <c r="G2822" s="29"/>
      <c r="H2822" s="28"/>
      <c r="I2822" s="29"/>
    </row>
    <row r="2823" spans="6:9" x14ac:dyDescent="0.3">
      <c r="F2823" s="29"/>
      <c r="G2823" s="29"/>
      <c r="H2823" s="28"/>
      <c r="I2823" s="29"/>
    </row>
    <row r="2824" spans="6:9" x14ac:dyDescent="0.3">
      <c r="F2824" s="29"/>
      <c r="G2824" s="29"/>
      <c r="H2824" s="28"/>
      <c r="I2824" s="29"/>
    </row>
    <row r="2825" spans="6:9" x14ac:dyDescent="0.3">
      <c r="F2825" s="29"/>
      <c r="G2825" s="29"/>
      <c r="H2825" s="28"/>
      <c r="I2825" s="29"/>
    </row>
    <row r="2826" spans="6:9" x14ac:dyDescent="0.3">
      <c r="F2826" s="29"/>
      <c r="G2826" s="29"/>
      <c r="H2826" s="28"/>
      <c r="I2826" s="29"/>
    </row>
    <row r="2827" spans="6:9" x14ac:dyDescent="0.3">
      <c r="F2827" s="29"/>
      <c r="G2827" s="29"/>
      <c r="H2827" s="28"/>
      <c r="I2827" s="29"/>
    </row>
    <row r="2828" spans="6:9" x14ac:dyDescent="0.3">
      <c r="F2828" s="29"/>
      <c r="G2828" s="29"/>
      <c r="H2828" s="28"/>
      <c r="I2828" s="29"/>
    </row>
    <row r="2829" spans="6:9" x14ac:dyDescent="0.3">
      <c r="F2829" s="29"/>
      <c r="G2829" s="29"/>
      <c r="H2829" s="28"/>
      <c r="I2829" s="29"/>
    </row>
    <row r="2830" spans="6:9" x14ac:dyDescent="0.3">
      <c r="F2830" s="29"/>
      <c r="G2830" s="29"/>
      <c r="H2830" s="28"/>
      <c r="I2830" s="29"/>
    </row>
    <row r="2831" spans="6:9" x14ac:dyDescent="0.3">
      <c r="F2831" s="29"/>
      <c r="G2831" s="29"/>
      <c r="H2831" s="28"/>
      <c r="I2831" s="29"/>
    </row>
    <row r="2832" spans="6:9" x14ac:dyDescent="0.3">
      <c r="F2832" s="29"/>
      <c r="G2832" s="29"/>
      <c r="H2832" s="28"/>
      <c r="I2832" s="29"/>
    </row>
    <row r="2833" spans="6:9" x14ac:dyDescent="0.3">
      <c r="F2833" s="29"/>
      <c r="G2833" s="29"/>
      <c r="H2833" s="28"/>
      <c r="I2833" s="29"/>
    </row>
    <row r="2834" spans="6:9" x14ac:dyDescent="0.3">
      <c r="F2834" s="29"/>
      <c r="G2834" s="29"/>
      <c r="H2834" s="28"/>
      <c r="I2834" s="29"/>
    </row>
    <row r="2835" spans="6:9" x14ac:dyDescent="0.3">
      <c r="F2835" s="29"/>
      <c r="G2835" s="29"/>
      <c r="H2835" s="28"/>
      <c r="I2835" s="29"/>
    </row>
    <row r="2836" spans="6:9" x14ac:dyDescent="0.3">
      <c r="F2836" s="29"/>
      <c r="G2836" s="29"/>
      <c r="H2836" s="28"/>
      <c r="I2836" s="29"/>
    </row>
    <row r="2837" spans="6:9" x14ac:dyDescent="0.3">
      <c r="F2837" s="29"/>
      <c r="G2837" s="29"/>
      <c r="H2837" s="28"/>
      <c r="I2837" s="29"/>
    </row>
    <row r="2838" spans="6:9" x14ac:dyDescent="0.3">
      <c r="F2838" s="29"/>
      <c r="G2838" s="29"/>
      <c r="H2838" s="28"/>
      <c r="I2838" s="29"/>
    </row>
    <row r="2839" spans="6:9" x14ac:dyDescent="0.3">
      <c r="F2839" s="29"/>
      <c r="G2839" s="29"/>
      <c r="H2839" s="28"/>
      <c r="I2839" s="29"/>
    </row>
    <row r="2840" spans="6:9" x14ac:dyDescent="0.3">
      <c r="F2840" s="29"/>
      <c r="G2840" s="29"/>
      <c r="H2840" s="28"/>
      <c r="I2840" s="29"/>
    </row>
    <row r="2841" spans="6:9" x14ac:dyDescent="0.3">
      <c r="F2841" s="29"/>
      <c r="G2841" s="29"/>
      <c r="H2841" s="28"/>
      <c r="I2841" s="29"/>
    </row>
    <row r="2842" spans="6:9" x14ac:dyDescent="0.3">
      <c r="F2842" s="29"/>
      <c r="G2842" s="29"/>
      <c r="H2842" s="28"/>
      <c r="I2842" s="29"/>
    </row>
    <row r="2843" spans="6:9" x14ac:dyDescent="0.3">
      <c r="F2843" s="29"/>
      <c r="G2843" s="29"/>
      <c r="H2843" s="28"/>
      <c r="I2843" s="29"/>
    </row>
    <row r="2844" spans="6:9" x14ac:dyDescent="0.3">
      <c r="F2844" s="29"/>
      <c r="G2844" s="29"/>
      <c r="H2844" s="28"/>
      <c r="I2844" s="29"/>
    </row>
    <row r="2845" spans="6:9" x14ac:dyDescent="0.3">
      <c r="F2845" s="29"/>
      <c r="G2845" s="29"/>
      <c r="H2845" s="28"/>
      <c r="I2845" s="29"/>
    </row>
    <row r="2846" spans="6:9" x14ac:dyDescent="0.3">
      <c r="F2846" s="29"/>
      <c r="G2846" s="29"/>
      <c r="H2846" s="28"/>
      <c r="I2846" s="29"/>
    </row>
    <row r="2847" spans="6:9" x14ac:dyDescent="0.3">
      <c r="F2847" s="29"/>
      <c r="G2847" s="29"/>
      <c r="H2847" s="28"/>
      <c r="I2847" s="29"/>
    </row>
    <row r="2848" spans="6:9" x14ac:dyDescent="0.3">
      <c r="F2848" s="29"/>
      <c r="G2848" s="29"/>
      <c r="H2848" s="28"/>
      <c r="I2848" s="29"/>
    </row>
    <row r="2849" spans="6:9" x14ac:dyDescent="0.3">
      <c r="F2849" s="29"/>
      <c r="G2849" s="29"/>
      <c r="H2849" s="28"/>
      <c r="I2849" s="29"/>
    </row>
    <row r="2850" spans="6:9" x14ac:dyDescent="0.3">
      <c r="F2850" s="29"/>
      <c r="G2850" s="29"/>
      <c r="H2850" s="28"/>
      <c r="I2850" s="29"/>
    </row>
    <row r="2851" spans="6:9" x14ac:dyDescent="0.3">
      <c r="F2851" s="29"/>
      <c r="G2851" s="29"/>
      <c r="H2851" s="28"/>
      <c r="I2851" s="29"/>
    </row>
    <row r="2852" spans="6:9" x14ac:dyDescent="0.3">
      <c r="F2852" s="29"/>
      <c r="G2852" s="29"/>
      <c r="H2852" s="28"/>
      <c r="I2852" s="29"/>
    </row>
    <row r="2853" spans="6:9" x14ac:dyDescent="0.3">
      <c r="F2853" s="29"/>
      <c r="G2853" s="29"/>
      <c r="H2853" s="28"/>
      <c r="I2853" s="29"/>
    </row>
    <row r="2854" spans="6:9" x14ac:dyDescent="0.3">
      <c r="F2854" s="29"/>
      <c r="G2854" s="29"/>
      <c r="H2854" s="28"/>
      <c r="I2854" s="29"/>
    </row>
    <row r="2855" spans="6:9" x14ac:dyDescent="0.3">
      <c r="F2855" s="29"/>
      <c r="G2855" s="29"/>
      <c r="H2855" s="28"/>
      <c r="I2855" s="29"/>
    </row>
    <row r="2856" spans="6:9" x14ac:dyDescent="0.3">
      <c r="F2856" s="29"/>
      <c r="G2856" s="29"/>
      <c r="H2856" s="28"/>
      <c r="I2856" s="29"/>
    </row>
    <row r="2857" spans="6:9" x14ac:dyDescent="0.3">
      <c r="F2857" s="29"/>
      <c r="G2857" s="29"/>
      <c r="H2857" s="28"/>
      <c r="I2857" s="29"/>
    </row>
    <row r="2858" spans="6:9" x14ac:dyDescent="0.3">
      <c r="F2858" s="29"/>
      <c r="G2858" s="29"/>
      <c r="H2858" s="28"/>
      <c r="I2858" s="29"/>
    </row>
    <row r="2859" spans="6:9" x14ac:dyDescent="0.3">
      <c r="F2859" s="29"/>
      <c r="G2859" s="29"/>
      <c r="H2859" s="28"/>
      <c r="I2859" s="29"/>
    </row>
    <row r="2860" spans="6:9" x14ac:dyDescent="0.3">
      <c r="F2860" s="29"/>
      <c r="G2860" s="29"/>
      <c r="H2860" s="28"/>
      <c r="I2860" s="29"/>
    </row>
    <row r="2861" spans="6:9" x14ac:dyDescent="0.3">
      <c r="F2861" s="29"/>
      <c r="G2861" s="29"/>
      <c r="H2861" s="28"/>
      <c r="I2861" s="29"/>
    </row>
    <row r="2862" spans="6:9" x14ac:dyDescent="0.3">
      <c r="F2862" s="29"/>
      <c r="G2862" s="29"/>
      <c r="H2862" s="28"/>
      <c r="I2862" s="29"/>
    </row>
    <row r="2863" spans="6:9" x14ac:dyDescent="0.3">
      <c r="F2863" s="29"/>
      <c r="G2863" s="29"/>
      <c r="H2863" s="28"/>
      <c r="I2863" s="29"/>
    </row>
    <row r="2864" spans="6:9" x14ac:dyDescent="0.3">
      <c r="F2864" s="29"/>
      <c r="G2864" s="29"/>
      <c r="H2864" s="28"/>
      <c r="I2864" s="29"/>
    </row>
    <row r="2865" spans="6:9" x14ac:dyDescent="0.3">
      <c r="F2865" s="29"/>
      <c r="G2865" s="29"/>
      <c r="H2865" s="28"/>
      <c r="I2865" s="29"/>
    </row>
    <row r="2866" spans="6:9" x14ac:dyDescent="0.3">
      <c r="F2866" s="29"/>
      <c r="G2866" s="29"/>
      <c r="H2866" s="28"/>
      <c r="I2866" s="29"/>
    </row>
    <row r="2867" spans="6:9" x14ac:dyDescent="0.3">
      <c r="F2867" s="29"/>
      <c r="G2867" s="29"/>
      <c r="H2867" s="28"/>
      <c r="I2867" s="29"/>
    </row>
    <row r="2868" spans="6:9" x14ac:dyDescent="0.3">
      <c r="F2868" s="29"/>
      <c r="G2868" s="29"/>
      <c r="H2868" s="28"/>
      <c r="I2868" s="29"/>
    </row>
    <row r="2869" spans="6:9" x14ac:dyDescent="0.3">
      <c r="F2869" s="29"/>
      <c r="G2869" s="29"/>
      <c r="H2869" s="28"/>
      <c r="I2869" s="29"/>
    </row>
    <row r="2870" spans="6:9" x14ac:dyDescent="0.3">
      <c r="F2870" s="29"/>
      <c r="G2870" s="29"/>
      <c r="H2870" s="28"/>
      <c r="I2870" s="29"/>
    </row>
    <row r="2871" spans="6:9" x14ac:dyDescent="0.3">
      <c r="F2871" s="29"/>
      <c r="G2871" s="29"/>
      <c r="H2871" s="28"/>
      <c r="I2871" s="29"/>
    </row>
    <row r="2872" spans="6:9" x14ac:dyDescent="0.3">
      <c r="F2872" s="29"/>
      <c r="G2872" s="29"/>
      <c r="H2872" s="28"/>
      <c r="I2872" s="29"/>
    </row>
    <row r="2873" spans="6:9" x14ac:dyDescent="0.3">
      <c r="F2873" s="29"/>
      <c r="G2873" s="29"/>
      <c r="H2873" s="28"/>
      <c r="I2873" s="29"/>
    </row>
    <row r="2874" spans="6:9" x14ac:dyDescent="0.3">
      <c r="F2874" s="29"/>
      <c r="G2874" s="29"/>
      <c r="H2874" s="28"/>
      <c r="I2874" s="29"/>
    </row>
    <row r="2875" spans="6:9" x14ac:dyDescent="0.3">
      <c r="F2875" s="29"/>
      <c r="G2875" s="29"/>
      <c r="H2875" s="28"/>
      <c r="I2875" s="29"/>
    </row>
    <row r="2876" spans="6:9" x14ac:dyDescent="0.3">
      <c r="F2876" s="29"/>
      <c r="G2876" s="29"/>
      <c r="H2876" s="28"/>
      <c r="I2876" s="29"/>
    </row>
    <row r="2877" spans="6:9" x14ac:dyDescent="0.3">
      <c r="F2877" s="29"/>
      <c r="G2877" s="29"/>
      <c r="H2877" s="28"/>
      <c r="I2877" s="29"/>
    </row>
    <row r="2878" spans="6:9" x14ac:dyDescent="0.3">
      <c r="F2878" s="29"/>
      <c r="G2878" s="29"/>
      <c r="H2878" s="28"/>
      <c r="I2878" s="29"/>
    </row>
    <row r="2879" spans="6:9" x14ac:dyDescent="0.3">
      <c r="F2879" s="29"/>
      <c r="G2879" s="29"/>
      <c r="H2879" s="28"/>
      <c r="I2879" s="29"/>
    </row>
    <row r="2880" spans="6:9" x14ac:dyDescent="0.3">
      <c r="F2880" s="29"/>
      <c r="G2880" s="29"/>
      <c r="H2880" s="28"/>
      <c r="I2880" s="29"/>
    </row>
    <row r="2881" spans="6:9" x14ac:dyDescent="0.3">
      <c r="F2881" s="29"/>
      <c r="G2881" s="29"/>
      <c r="H2881" s="28"/>
      <c r="I2881" s="29"/>
    </row>
    <row r="2882" spans="6:9" x14ac:dyDescent="0.3">
      <c r="F2882" s="29"/>
      <c r="G2882" s="29"/>
      <c r="H2882" s="28"/>
      <c r="I2882" s="29"/>
    </row>
    <row r="2883" spans="6:9" x14ac:dyDescent="0.3">
      <c r="F2883" s="29"/>
      <c r="G2883" s="29"/>
      <c r="H2883" s="28"/>
      <c r="I2883" s="29"/>
    </row>
    <row r="2884" spans="6:9" x14ac:dyDescent="0.3">
      <c r="F2884" s="29"/>
      <c r="G2884" s="29"/>
      <c r="H2884" s="28"/>
      <c r="I2884" s="29"/>
    </row>
    <row r="2885" spans="6:9" x14ac:dyDescent="0.3">
      <c r="F2885" s="29"/>
      <c r="G2885" s="29"/>
      <c r="H2885" s="28"/>
      <c r="I2885" s="29"/>
    </row>
    <row r="2886" spans="6:9" x14ac:dyDescent="0.3">
      <c r="F2886" s="29"/>
      <c r="G2886" s="29"/>
      <c r="H2886" s="28"/>
      <c r="I2886" s="29"/>
    </row>
    <row r="2887" spans="6:9" x14ac:dyDescent="0.3">
      <c r="F2887" s="29"/>
      <c r="G2887" s="29"/>
      <c r="H2887" s="28"/>
      <c r="I2887" s="29"/>
    </row>
    <row r="2888" spans="6:9" x14ac:dyDescent="0.3">
      <c r="F2888" s="29"/>
      <c r="G2888" s="29"/>
      <c r="H2888" s="28"/>
      <c r="I2888" s="29"/>
    </row>
    <row r="2889" spans="6:9" x14ac:dyDescent="0.3">
      <c r="F2889" s="29"/>
      <c r="G2889" s="29"/>
      <c r="H2889" s="28"/>
      <c r="I2889" s="29"/>
    </row>
    <row r="2890" spans="6:9" x14ac:dyDescent="0.3">
      <c r="F2890" s="29"/>
      <c r="G2890" s="29"/>
      <c r="H2890" s="28"/>
      <c r="I2890" s="29"/>
    </row>
    <row r="2891" spans="6:9" x14ac:dyDescent="0.3">
      <c r="F2891" s="29"/>
      <c r="G2891" s="29"/>
      <c r="H2891" s="28"/>
      <c r="I2891" s="29"/>
    </row>
    <row r="2892" spans="6:9" x14ac:dyDescent="0.3">
      <c r="F2892" s="29"/>
      <c r="G2892" s="29"/>
      <c r="H2892" s="28"/>
      <c r="I2892" s="29"/>
    </row>
    <row r="2893" spans="6:9" x14ac:dyDescent="0.3">
      <c r="F2893" s="29"/>
      <c r="G2893" s="29"/>
      <c r="H2893" s="28"/>
      <c r="I2893" s="29"/>
    </row>
    <row r="2894" spans="6:9" x14ac:dyDescent="0.3">
      <c r="F2894" s="29"/>
      <c r="G2894" s="29"/>
      <c r="H2894" s="28"/>
      <c r="I2894" s="29"/>
    </row>
    <row r="2895" spans="6:9" x14ac:dyDescent="0.3">
      <c r="F2895" s="29"/>
      <c r="G2895" s="29"/>
      <c r="H2895" s="28"/>
      <c r="I2895" s="29"/>
    </row>
    <row r="2896" spans="6:9" x14ac:dyDescent="0.3">
      <c r="F2896" s="29"/>
      <c r="G2896" s="29"/>
      <c r="H2896" s="28"/>
      <c r="I2896" s="29"/>
    </row>
    <row r="2897" spans="6:9" x14ac:dyDescent="0.3">
      <c r="F2897" s="29"/>
      <c r="G2897" s="29"/>
      <c r="H2897" s="28"/>
      <c r="I2897" s="29"/>
    </row>
    <row r="2898" spans="6:9" x14ac:dyDescent="0.3">
      <c r="F2898" s="29"/>
      <c r="G2898" s="29"/>
      <c r="H2898" s="28"/>
      <c r="I2898" s="29"/>
    </row>
    <row r="2899" spans="6:9" x14ac:dyDescent="0.3">
      <c r="F2899" s="29"/>
      <c r="G2899" s="29"/>
      <c r="H2899" s="28"/>
      <c r="I2899" s="29"/>
    </row>
    <row r="2900" spans="6:9" x14ac:dyDescent="0.3">
      <c r="F2900" s="29"/>
      <c r="G2900" s="29"/>
      <c r="H2900" s="28"/>
      <c r="I2900" s="29"/>
    </row>
    <row r="2901" spans="6:9" x14ac:dyDescent="0.3">
      <c r="F2901" s="29"/>
      <c r="G2901" s="29"/>
      <c r="H2901" s="28"/>
      <c r="I2901" s="29"/>
    </row>
    <row r="2902" spans="6:9" x14ac:dyDescent="0.3">
      <c r="F2902" s="29"/>
      <c r="G2902" s="29"/>
      <c r="H2902" s="28"/>
      <c r="I2902" s="29"/>
    </row>
    <row r="2903" spans="6:9" x14ac:dyDescent="0.3">
      <c r="F2903" s="29"/>
      <c r="G2903" s="29"/>
      <c r="H2903" s="28"/>
      <c r="I2903" s="29"/>
    </row>
    <row r="2904" spans="6:9" x14ac:dyDescent="0.3">
      <c r="F2904" s="29"/>
      <c r="G2904" s="29"/>
      <c r="H2904" s="28"/>
      <c r="I2904" s="29"/>
    </row>
    <row r="2905" spans="6:9" x14ac:dyDescent="0.3">
      <c r="F2905" s="29"/>
      <c r="G2905" s="29"/>
      <c r="H2905" s="28"/>
      <c r="I2905" s="29"/>
    </row>
    <row r="2906" spans="6:9" x14ac:dyDescent="0.3">
      <c r="F2906" s="29"/>
      <c r="G2906" s="29"/>
      <c r="H2906" s="28"/>
      <c r="I2906" s="29"/>
    </row>
    <row r="2907" spans="6:9" x14ac:dyDescent="0.3">
      <c r="F2907" s="29"/>
      <c r="G2907" s="29"/>
      <c r="H2907" s="28"/>
      <c r="I2907" s="29"/>
    </row>
    <row r="2908" spans="6:9" x14ac:dyDescent="0.3">
      <c r="F2908" s="29"/>
      <c r="G2908" s="29"/>
      <c r="H2908" s="28"/>
      <c r="I2908" s="29"/>
    </row>
    <row r="2909" spans="6:9" x14ac:dyDescent="0.3">
      <c r="F2909" s="29"/>
      <c r="G2909" s="29"/>
      <c r="H2909" s="28"/>
      <c r="I2909" s="29"/>
    </row>
    <row r="2910" spans="6:9" x14ac:dyDescent="0.3">
      <c r="F2910" s="29"/>
      <c r="G2910" s="29"/>
      <c r="H2910" s="28"/>
      <c r="I2910" s="29"/>
    </row>
    <row r="2911" spans="6:9" x14ac:dyDescent="0.3">
      <c r="F2911" s="29"/>
      <c r="G2911" s="29"/>
      <c r="H2911" s="28"/>
      <c r="I2911" s="29"/>
    </row>
    <row r="2912" spans="6:9" x14ac:dyDescent="0.3">
      <c r="F2912" s="29"/>
      <c r="G2912" s="29"/>
      <c r="H2912" s="28"/>
      <c r="I2912" s="29"/>
    </row>
    <row r="2913" spans="6:9" x14ac:dyDescent="0.3">
      <c r="F2913" s="29"/>
      <c r="G2913" s="29"/>
      <c r="H2913" s="28"/>
      <c r="I2913" s="29"/>
    </row>
    <row r="2914" spans="6:9" x14ac:dyDescent="0.3">
      <c r="F2914" s="29"/>
      <c r="G2914" s="29"/>
      <c r="H2914" s="28"/>
      <c r="I2914" s="29"/>
    </row>
    <row r="2915" spans="6:9" x14ac:dyDescent="0.3">
      <c r="F2915" s="29"/>
      <c r="G2915" s="29"/>
      <c r="H2915" s="28"/>
      <c r="I2915" s="29"/>
    </row>
    <row r="2916" spans="6:9" x14ac:dyDescent="0.3">
      <c r="F2916" s="29"/>
      <c r="G2916" s="29"/>
      <c r="H2916" s="28"/>
      <c r="I2916" s="29"/>
    </row>
    <row r="2917" spans="6:9" x14ac:dyDescent="0.3">
      <c r="F2917" s="29"/>
      <c r="G2917" s="29"/>
      <c r="H2917" s="28"/>
      <c r="I2917" s="29"/>
    </row>
    <row r="2918" spans="6:9" x14ac:dyDescent="0.3">
      <c r="F2918" s="29"/>
      <c r="G2918" s="29"/>
      <c r="H2918" s="28"/>
      <c r="I2918" s="29"/>
    </row>
    <row r="2919" spans="6:9" x14ac:dyDescent="0.3">
      <c r="F2919" s="29"/>
      <c r="G2919" s="29"/>
      <c r="H2919" s="28"/>
      <c r="I2919" s="29"/>
    </row>
    <row r="2920" spans="6:9" x14ac:dyDescent="0.3">
      <c r="F2920" s="29"/>
      <c r="G2920" s="29"/>
      <c r="H2920" s="28"/>
      <c r="I2920" s="29"/>
    </row>
    <row r="2921" spans="6:9" x14ac:dyDescent="0.3">
      <c r="F2921" s="29"/>
      <c r="G2921" s="29"/>
      <c r="H2921" s="28"/>
      <c r="I2921" s="29"/>
    </row>
    <row r="2922" spans="6:9" x14ac:dyDescent="0.3">
      <c r="F2922" s="29"/>
      <c r="G2922" s="29"/>
      <c r="H2922" s="28"/>
      <c r="I2922" s="29"/>
    </row>
    <row r="2923" spans="6:9" x14ac:dyDescent="0.3">
      <c r="F2923" s="29"/>
      <c r="G2923" s="29"/>
      <c r="H2923" s="28"/>
      <c r="I2923" s="29"/>
    </row>
    <row r="2924" spans="6:9" x14ac:dyDescent="0.3">
      <c r="F2924" s="29"/>
      <c r="G2924" s="29"/>
      <c r="H2924" s="28"/>
      <c r="I2924" s="29"/>
    </row>
    <row r="2925" spans="6:9" x14ac:dyDescent="0.3">
      <c r="F2925" s="29"/>
      <c r="G2925" s="29"/>
      <c r="H2925" s="28"/>
      <c r="I2925" s="29"/>
    </row>
    <row r="2926" spans="6:9" x14ac:dyDescent="0.3">
      <c r="F2926" s="29"/>
      <c r="G2926" s="29"/>
      <c r="H2926" s="28"/>
      <c r="I2926" s="29"/>
    </row>
    <row r="2927" spans="6:9" x14ac:dyDescent="0.3">
      <c r="F2927" s="29"/>
      <c r="G2927" s="29"/>
      <c r="H2927" s="28"/>
      <c r="I2927" s="29"/>
    </row>
    <row r="2928" spans="6:9" x14ac:dyDescent="0.3">
      <c r="F2928" s="29"/>
      <c r="G2928" s="29"/>
      <c r="H2928" s="28"/>
      <c r="I2928" s="29"/>
    </row>
    <row r="2929" spans="6:9" x14ac:dyDescent="0.3">
      <c r="F2929" s="29"/>
      <c r="G2929" s="29"/>
      <c r="H2929" s="28"/>
      <c r="I2929" s="29"/>
    </row>
    <row r="2930" spans="6:9" x14ac:dyDescent="0.3">
      <c r="F2930" s="29"/>
      <c r="G2930" s="29"/>
      <c r="H2930" s="28"/>
      <c r="I2930" s="29"/>
    </row>
    <row r="2931" spans="6:9" x14ac:dyDescent="0.3">
      <c r="F2931" s="29"/>
      <c r="G2931" s="29"/>
      <c r="H2931" s="28"/>
      <c r="I2931" s="29"/>
    </row>
    <row r="2932" spans="6:9" x14ac:dyDescent="0.3">
      <c r="F2932" s="29"/>
      <c r="G2932" s="29"/>
      <c r="H2932" s="28"/>
      <c r="I2932" s="29"/>
    </row>
    <row r="2933" spans="6:9" x14ac:dyDescent="0.3">
      <c r="F2933" s="29"/>
      <c r="G2933" s="29"/>
      <c r="H2933" s="28"/>
      <c r="I2933" s="29"/>
    </row>
    <row r="2934" spans="6:9" x14ac:dyDescent="0.3">
      <c r="F2934" s="29"/>
      <c r="G2934" s="29"/>
      <c r="H2934" s="28"/>
      <c r="I2934" s="29"/>
    </row>
    <row r="2935" spans="6:9" x14ac:dyDescent="0.3">
      <c r="F2935" s="29"/>
      <c r="G2935" s="29"/>
      <c r="H2935" s="28"/>
      <c r="I2935" s="29"/>
    </row>
    <row r="2936" spans="6:9" x14ac:dyDescent="0.3">
      <c r="F2936" s="29"/>
      <c r="G2936" s="29"/>
      <c r="H2936" s="28"/>
      <c r="I2936" s="29"/>
    </row>
    <row r="2937" spans="6:9" x14ac:dyDescent="0.3">
      <c r="F2937" s="29"/>
      <c r="G2937" s="29"/>
      <c r="H2937" s="28"/>
      <c r="I2937" s="29"/>
    </row>
    <row r="2938" spans="6:9" x14ac:dyDescent="0.3">
      <c r="F2938" s="29"/>
      <c r="G2938" s="29"/>
      <c r="H2938" s="28"/>
      <c r="I2938" s="29"/>
    </row>
    <row r="2939" spans="6:9" x14ac:dyDescent="0.3">
      <c r="F2939" s="29"/>
      <c r="G2939" s="29"/>
      <c r="H2939" s="28"/>
      <c r="I2939" s="29"/>
    </row>
    <row r="2940" spans="6:9" x14ac:dyDescent="0.3">
      <c r="F2940" s="29"/>
      <c r="G2940" s="29"/>
      <c r="H2940" s="28"/>
      <c r="I2940" s="29"/>
    </row>
    <row r="2941" spans="6:9" x14ac:dyDescent="0.3">
      <c r="F2941" s="29"/>
      <c r="G2941" s="29"/>
      <c r="H2941" s="28"/>
      <c r="I2941" s="29"/>
    </row>
    <row r="2942" spans="6:9" x14ac:dyDescent="0.3">
      <c r="F2942" s="29"/>
      <c r="G2942" s="29"/>
      <c r="H2942" s="28"/>
      <c r="I2942" s="29"/>
    </row>
    <row r="2943" spans="6:9" x14ac:dyDescent="0.3">
      <c r="F2943" s="29"/>
      <c r="G2943" s="29"/>
      <c r="H2943" s="28"/>
      <c r="I2943" s="29"/>
    </row>
    <row r="2944" spans="6:9" x14ac:dyDescent="0.3">
      <c r="F2944" s="29"/>
      <c r="G2944" s="29"/>
      <c r="H2944" s="28"/>
      <c r="I2944" s="29"/>
    </row>
    <row r="2945" spans="6:9" x14ac:dyDescent="0.3">
      <c r="F2945" s="29"/>
      <c r="G2945" s="29"/>
      <c r="H2945" s="28"/>
      <c r="I2945" s="29"/>
    </row>
    <row r="2946" spans="6:9" x14ac:dyDescent="0.3">
      <c r="F2946" s="29"/>
      <c r="G2946" s="29"/>
      <c r="H2946" s="28"/>
      <c r="I2946" s="29"/>
    </row>
    <row r="2947" spans="6:9" x14ac:dyDescent="0.3">
      <c r="F2947" s="29"/>
      <c r="G2947" s="29"/>
      <c r="H2947" s="28"/>
      <c r="I2947" s="29"/>
    </row>
    <row r="2948" spans="6:9" x14ac:dyDescent="0.3">
      <c r="F2948" s="29"/>
      <c r="G2948" s="29"/>
      <c r="H2948" s="28"/>
      <c r="I2948" s="29"/>
    </row>
    <row r="2949" spans="6:9" x14ac:dyDescent="0.3">
      <c r="F2949" s="29"/>
      <c r="G2949" s="29"/>
      <c r="H2949" s="28"/>
      <c r="I2949" s="29"/>
    </row>
    <row r="2950" spans="6:9" x14ac:dyDescent="0.3">
      <c r="F2950" s="29"/>
      <c r="G2950" s="29"/>
      <c r="H2950" s="28"/>
      <c r="I2950" s="29"/>
    </row>
    <row r="2951" spans="6:9" x14ac:dyDescent="0.3">
      <c r="F2951" s="29"/>
      <c r="G2951" s="29"/>
      <c r="H2951" s="28"/>
      <c r="I2951" s="29"/>
    </row>
    <row r="2952" spans="6:9" x14ac:dyDescent="0.3">
      <c r="F2952" s="29"/>
      <c r="G2952" s="29"/>
      <c r="H2952" s="28"/>
      <c r="I2952" s="29"/>
    </row>
    <row r="2953" spans="6:9" x14ac:dyDescent="0.3">
      <c r="F2953" s="29"/>
      <c r="G2953" s="29"/>
      <c r="H2953" s="28"/>
      <c r="I2953" s="29"/>
    </row>
    <row r="2954" spans="6:9" x14ac:dyDescent="0.3">
      <c r="F2954" s="29"/>
      <c r="G2954" s="29"/>
      <c r="H2954" s="28"/>
      <c r="I2954" s="29"/>
    </row>
    <row r="2955" spans="6:9" x14ac:dyDescent="0.3">
      <c r="F2955" s="29"/>
      <c r="G2955" s="29"/>
      <c r="H2955" s="28"/>
      <c r="I2955" s="29"/>
    </row>
    <row r="2956" spans="6:9" x14ac:dyDescent="0.3">
      <c r="F2956" s="29"/>
      <c r="G2956" s="29"/>
      <c r="H2956" s="28"/>
      <c r="I2956" s="29"/>
    </row>
    <row r="2957" spans="6:9" x14ac:dyDescent="0.3">
      <c r="F2957" s="29"/>
      <c r="G2957" s="29"/>
      <c r="H2957" s="28"/>
      <c r="I2957" s="29"/>
    </row>
    <row r="2958" spans="6:9" x14ac:dyDescent="0.3">
      <c r="F2958" s="29"/>
      <c r="G2958" s="29"/>
      <c r="H2958" s="28"/>
      <c r="I2958" s="29"/>
    </row>
    <row r="2959" spans="6:9" x14ac:dyDescent="0.3">
      <c r="F2959" s="29"/>
      <c r="G2959" s="29"/>
      <c r="H2959" s="28"/>
      <c r="I2959" s="29"/>
    </row>
    <row r="2960" spans="6:9" x14ac:dyDescent="0.3">
      <c r="F2960" s="29"/>
      <c r="G2960" s="29"/>
      <c r="H2960" s="28"/>
      <c r="I2960" s="29"/>
    </row>
    <row r="2961" spans="6:9" x14ac:dyDescent="0.3">
      <c r="F2961" s="29"/>
      <c r="G2961" s="29"/>
      <c r="H2961" s="28"/>
      <c r="I2961" s="29"/>
    </row>
    <row r="2962" spans="6:9" x14ac:dyDescent="0.3">
      <c r="F2962" s="29"/>
      <c r="G2962" s="29"/>
      <c r="H2962" s="28"/>
      <c r="I2962" s="29"/>
    </row>
    <row r="2963" spans="6:9" x14ac:dyDescent="0.3">
      <c r="F2963" s="29"/>
      <c r="G2963" s="29"/>
      <c r="H2963" s="28"/>
      <c r="I2963" s="29"/>
    </row>
    <row r="2964" spans="6:9" x14ac:dyDescent="0.3">
      <c r="F2964" s="29"/>
      <c r="G2964" s="29"/>
      <c r="H2964" s="28"/>
      <c r="I2964" s="29"/>
    </row>
    <row r="2965" spans="6:9" x14ac:dyDescent="0.3">
      <c r="F2965" s="29"/>
      <c r="G2965" s="29"/>
      <c r="H2965" s="28"/>
      <c r="I2965" s="29"/>
    </row>
    <row r="2966" spans="6:9" x14ac:dyDescent="0.3">
      <c r="F2966" s="29"/>
      <c r="G2966" s="29"/>
      <c r="H2966" s="28"/>
      <c r="I2966" s="29"/>
    </row>
    <row r="2967" spans="6:9" x14ac:dyDescent="0.3">
      <c r="F2967" s="29"/>
      <c r="G2967" s="29"/>
      <c r="H2967" s="28"/>
      <c r="I2967" s="29"/>
    </row>
    <row r="2968" spans="6:9" x14ac:dyDescent="0.3">
      <c r="F2968" s="29"/>
      <c r="G2968" s="29"/>
      <c r="H2968" s="28"/>
      <c r="I2968" s="29"/>
    </row>
    <row r="2969" spans="6:9" x14ac:dyDescent="0.3">
      <c r="F2969" s="29"/>
      <c r="G2969" s="29"/>
      <c r="H2969" s="28"/>
      <c r="I2969" s="29"/>
    </row>
    <row r="2970" spans="6:9" x14ac:dyDescent="0.3">
      <c r="F2970" s="29"/>
      <c r="G2970" s="29"/>
      <c r="H2970" s="28"/>
      <c r="I2970" s="29"/>
    </row>
    <row r="2971" spans="6:9" x14ac:dyDescent="0.3">
      <c r="F2971" s="29"/>
      <c r="G2971" s="29"/>
      <c r="H2971" s="28"/>
      <c r="I2971" s="29"/>
    </row>
    <row r="2972" spans="6:9" x14ac:dyDescent="0.3">
      <c r="F2972" s="29"/>
      <c r="G2972" s="29"/>
      <c r="H2972" s="28"/>
      <c r="I2972" s="29"/>
    </row>
    <row r="2973" spans="6:9" x14ac:dyDescent="0.3">
      <c r="F2973" s="29"/>
      <c r="G2973" s="29"/>
      <c r="H2973" s="28"/>
      <c r="I2973" s="29"/>
    </row>
    <row r="2974" spans="6:9" x14ac:dyDescent="0.3">
      <c r="F2974" s="29"/>
      <c r="G2974" s="29"/>
      <c r="H2974" s="28"/>
      <c r="I2974" s="29"/>
    </row>
    <row r="2975" spans="6:9" x14ac:dyDescent="0.3">
      <c r="F2975" s="29"/>
      <c r="G2975" s="29"/>
      <c r="H2975" s="28"/>
      <c r="I2975" s="29"/>
    </row>
    <row r="2976" spans="6:9" x14ac:dyDescent="0.3">
      <c r="F2976" s="29"/>
      <c r="G2976" s="29"/>
      <c r="H2976" s="28"/>
      <c r="I2976" s="29"/>
    </row>
    <row r="2977" spans="6:9" x14ac:dyDescent="0.3">
      <c r="F2977" s="29"/>
      <c r="G2977" s="29"/>
      <c r="H2977" s="28"/>
      <c r="I2977" s="29"/>
    </row>
    <row r="2978" spans="6:9" x14ac:dyDescent="0.3">
      <c r="F2978" s="29"/>
      <c r="G2978" s="29"/>
      <c r="H2978" s="28"/>
      <c r="I2978" s="29"/>
    </row>
    <row r="2979" spans="6:9" x14ac:dyDescent="0.3">
      <c r="F2979" s="29"/>
      <c r="G2979" s="29"/>
      <c r="H2979" s="28"/>
      <c r="I2979" s="29"/>
    </row>
    <row r="2980" spans="6:9" x14ac:dyDescent="0.3">
      <c r="F2980" s="29"/>
      <c r="G2980" s="29"/>
      <c r="H2980" s="28"/>
      <c r="I2980" s="29"/>
    </row>
    <row r="2981" spans="6:9" x14ac:dyDescent="0.3">
      <c r="F2981" s="29"/>
      <c r="G2981" s="29"/>
      <c r="H2981" s="28"/>
      <c r="I2981" s="29"/>
    </row>
    <row r="2982" spans="6:9" x14ac:dyDescent="0.3">
      <c r="F2982" s="29"/>
      <c r="G2982" s="29"/>
      <c r="H2982" s="28"/>
      <c r="I2982" s="29"/>
    </row>
    <row r="2983" spans="6:9" x14ac:dyDescent="0.3">
      <c r="F2983" s="29"/>
      <c r="G2983" s="29"/>
      <c r="H2983" s="28"/>
      <c r="I2983" s="29"/>
    </row>
    <row r="2984" spans="6:9" x14ac:dyDescent="0.3">
      <c r="F2984" s="29"/>
      <c r="G2984" s="29"/>
      <c r="H2984" s="28"/>
      <c r="I2984" s="29"/>
    </row>
    <row r="2985" spans="6:9" x14ac:dyDescent="0.3">
      <c r="F2985" s="29"/>
      <c r="G2985" s="29"/>
      <c r="H2985" s="28"/>
      <c r="I2985" s="29"/>
    </row>
    <row r="2986" spans="6:9" x14ac:dyDescent="0.3">
      <c r="F2986" s="29"/>
      <c r="G2986" s="29"/>
      <c r="H2986" s="28"/>
      <c r="I2986" s="29"/>
    </row>
    <row r="2987" spans="6:9" x14ac:dyDescent="0.3">
      <c r="F2987" s="29"/>
      <c r="G2987" s="29"/>
      <c r="H2987" s="28"/>
      <c r="I2987" s="29"/>
    </row>
    <row r="2988" spans="6:9" x14ac:dyDescent="0.3">
      <c r="F2988" s="29"/>
      <c r="G2988" s="29"/>
      <c r="H2988" s="28"/>
      <c r="I2988" s="29"/>
    </row>
    <row r="2989" spans="6:9" x14ac:dyDescent="0.3">
      <c r="F2989" s="29"/>
      <c r="G2989" s="29"/>
      <c r="H2989" s="28"/>
      <c r="I2989" s="29"/>
    </row>
    <row r="2990" spans="6:9" x14ac:dyDescent="0.3">
      <c r="F2990" s="29"/>
      <c r="G2990" s="29"/>
      <c r="H2990" s="28"/>
      <c r="I2990" s="29"/>
    </row>
    <row r="2991" spans="6:9" x14ac:dyDescent="0.3">
      <c r="F2991" s="29"/>
      <c r="G2991" s="29"/>
      <c r="H2991" s="28"/>
      <c r="I2991" s="29"/>
    </row>
    <row r="2992" spans="6:9" x14ac:dyDescent="0.3">
      <c r="F2992" s="29"/>
      <c r="G2992" s="29"/>
      <c r="H2992" s="28"/>
      <c r="I2992" s="29"/>
    </row>
    <row r="2993" spans="6:9" x14ac:dyDescent="0.3">
      <c r="F2993" s="29"/>
      <c r="G2993" s="29"/>
      <c r="H2993" s="28"/>
      <c r="I2993" s="29"/>
    </row>
    <row r="2994" spans="6:9" x14ac:dyDescent="0.3">
      <c r="F2994" s="29"/>
      <c r="G2994" s="29"/>
      <c r="H2994" s="28"/>
      <c r="I2994" s="29"/>
    </row>
    <row r="2995" spans="6:9" x14ac:dyDescent="0.3">
      <c r="F2995" s="29"/>
      <c r="G2995" s="29"/>
      <c r="H2995" s="28"/>
      <c r="I2995" s="29"/>
    </row>
    <row r="2996" spans="6:9" x14ac:dyDescent="0.3">
      <c r="F2996" s="29"/>
      <c r="G2996" s="29"/>
      <c r="H2996" s="28"/>
      <c r="I2996" s="29"/>
    </row>
    <row r="2997" spans="6:9" x14ac:dyDescent="0.3">
      <c r="F2997" s="29"/>
      <c r="G2997" s="29"/>
      <c r="H2997" s="28"/>
      <c r="I2997" s="29"/>
    </row>
    <row r="2998" spans="6:9" x14ac:dyDescent="0.3">
      <c r="F2998" s="29"/>
      <c r="G2998" s="29"/>
      <c r="H2998" s="28"/>
      <c r="I2998" s="29"/>
    </row>
    <row r="2999" spans="6:9" x14ac:dyDescent="0.3">
      <c r="F2999" s="29"/>
      <c r="G2999" s="29"/>
      <c r="H2999" s="28"/>
      <c r="I2999" s="29"/>
    </row>
    <row r="3000" spans="6:9" x14ac:dyDescent="0.3">
      <c r="F3000" s="29"/>
      <c r="G3000" s="29"/>
      <c r="H3000" s="28"/>
      <c r="I3000" s="29"/>
    </row>
    <row r="3001" spans="6:9" x14ac:dyDescent="0.3">
      <c r="F3001" s="29"/>
      <c r="G3001" s="29"/>
      <c r="H3001" s="28"/>
      <c r="I3001" s="29"/>
    </row>
    <row r="3002" spans="6:9" x14ac:dyDescent="0.3">
      <c r="F3002" s="29"/>
      <c r="G3002" s="29"/>
      <c r="H3002" s="28"/>
      <c r="I3002" s="29"/>
    </row>
    <row r="3003" spans="6:9" x14ac:dyDescent="0.3">
      <c r="F3003" s="29"/>
      <c r="G3003" s="29"/>
      <c r="H3003" s="28"/>
      <c r="I3003" s="29"/>
    </row>
    <row r="3004" spans="6:9" x14ac:dyDescent="0.3">
      <c r="F3004" s="29"/>
      <c r="G3004" s="29"/>
      <c r="H3004" s="28"/>
      <c r="I3004" s="29"/>
    </row>
    <row r="3005" spans="6:9" x14ac:dyDescent="0.3">
      <c r="F3005" s="29"/>
      <c r="G3005" s="29"/>
      <c r="H3005" s="28"/>
      <c r="I3005" s="29"/>
    </row>
    <row r="3006" spans="6:9" x14ac:dyDescent="0.3">
      <c r="F3006" s="29"/>
      <c r="G3006" s="29"/>
      <c r="H3006" s="28"/>
      <c r="I3006" s="29"/>
    </row>
    <row r="3007" spans="6:9" x14ac:dyDescent="0.3">
      <c r="F3007" s="29"/>
      <c r="G3007" s="29"/>
      <c r="H3007" s="28"/>
      <c r="I3007" s="29"/>
    </row>
    <row r="3008" spans="6:9" x14ac:dyDescent="0.3">
      <c r="F3008" s="29"/>
      <c r="G3008" s="29"/>
      <c r="H3008" s="28"/>
      <c r="I3008" s="29"/>
    </row>
    <row r="3009" spans="6:9" x14ac:dyDescent="0.3">
      <c r="F3009" s="29"/>
      <c r="G3009" s="29"/>
      <c r="H3009" s="28"/>
      <c r="I3009" s="29"/>
    </row>
    <row r="3010" spans="6:9" x14ac:dyDescent="0.3">
      <c r="F3010" s="29"/>
      <c r="G3010" s="29"/>
      <c r="H3010" s="28"/>
      <c r="I3010" s="29"/>
    </row>
    <row r="3011" spans="6:9" x14ac:dyDescent="0.3">
      <c r="F3011" s="29"/>
      <c r="G3011" s="29"/>
      <c r="H3011" s="28"/>
      <c r="I3011" s="29"/>
    </row>
    <row r="3012" spans="6:9" x14ac:dyDescent="0.3">
      <c r="F3012" s="29"/>
      <c r="G3012" s="29"/>
      <c r="H3012" s="28"/>
      <c r="I3012" s="29"/>
    </row>
    <row r="3013" spans="6:9" x14ac:dyDescent="0.3">
      <c r="F3013" s="29"/>
      <c r="G3013" s="29"/>
      <c r="H3013" s="28"/>
      <c r="I3013" s="29"/>
    </row>
    <row r="3014" spans="6:9" x14ac:dyDescent="0.3">
      <c r="F3014" s="29"/>
      <c r="G3014" s="29"/>
      <c r="H3014" s="28"/>
      <c r="I3014" s="29"/>
    </row>
    <row r="3015" spans="6:9" x14ac:dyDescent="0.3">
      <c r="F3015" s="29"/>
      <c r="G3015" s="29"/>
      <c r="H3015" s="28"/>
      <c r="I3015" s="29"/>
    </row>
    <row r="3016" spans="6:9" x14ac:dyDescent="0.3">
      <c r="F3016" s="29"/>
      <c r="G3016" s="29"/>
      <c r="H3016" s="28"/>
      <c r="I3016" s="29"/>
    </row>
    <row r="3017" spans="6:9" x14ac:dyDescent="0.3">
      <c r="F3017" s="29"/>
      <c r="G3017" s="29"/>
      <c r="H3017" s="28"/>
      <c r="I3017" s="29"/>
    </row>
    <row r="3018" spans="6:9" x14ac:dyDescent="0.3">
      <c r="F3018" s="29"/>
      <c r="G3018" s="29"/>
      <c r="H3018" s="28"/>
      <c r="I3018" s="29"/>
    </row>
    <row r="3019" spans="6:9" x14ac:dyDescent="0.3">
      <c r="F3019" s="29"/>
      <c r="G3019" s="29"/>
      <c r="H3019" s="28"/>
      <c r="I3019" s="29"/>
    </row>
    <row r="3020" spans="6:9" x14ac:dyDescent="0.3">
      <c r="F3020" s="29"/>
      <c r="G3020" s="29"/>
      <c r="H3020" s="28"/>
      <c r="I3020" s="29"/>
    </row>
    <row r="3021" spans="6:9" x14ac:dyDescent="0.3">
      <c r="F3021" s="29"/>
      <c r="G3021" s="29"/>
      <c r="H3021" s="28"/>
      <c r="I3021" s="29"/>
    </row>
    <row r="3022" spans="6:9" x14ac:dyDescent="0.3">
      <c r="F3022" s="29"/>
      <c r="G3022" s="29"/>
      <c r="H3022" s="28"/>
      <c r="I3022" s="29"/>
    </row>
    <row r="3023" spans="6:9" x14ac:dyDescent="0.3">
      <c r="F3023" s="29"/>
      <c r="G3023" s="29"/>
      <c r="H3023" s="28"/>
      <c r="I3023" s="29"/>
    </row>
    <row r="3024" spans="6:9" x14ac:dyDescent="0.3">
      <c r="F3024" s="29"/>
      <c r="G3024" s="29"/>
      <c r="H3024" s="28"/>
      <c r="I3024" s="29"/>
    </row>
    <row r="3025" spans="6:9" x14ac:dyDescent="0.3">
      <c r="F3025" s="29"/>
      <c r="G3025" s="29"/>
      <c r="H3025" s="28"/>
      <c r="I3025" s="29"/>
    </row>
    <row r="3026" spans="6:9" x14ac:dyDescent="0.3">
      <c r="F3026" s="29"/>
      <c r="G3026" s="29"/>
      <c r="H3026" s="28"/>
      <c r="I3026" s="29"/>
    </row>
    <row r="3027" spans="6:9" x14ac:dyDescent="0.3">
      <c r="F3027" s="29"/>
      <c r="G3027" s="29"/>
      <c r="H3027" s="28"/>
      <c r="I3027" s="29"/>
    </row>
    <row r="3028" spans="6:9" x14ac:dyDescent="0.3">
      <c r="F3028" s="29"/>
      <c r="G3028" s="29"/>
      <c r="H3028" s="28"/>
      <c r="I3028" s="29"/>
    </row>
    <row r="3029" spans="6:9" x14ac:dyDescent="0.3">
      <c r="F3029" s="29"/>
      <c r="G3029" s="29"/>
      <c r="H3029" s="28"/>
      <c r="I3029" s="29"/>
    </row>
    <row r="3030" spans="6:9" x14ac:dyDescent="0.3">
      <c r="F3030" s="29"/>
      <c r="G3030" s="29"/>
      <c r="H3030" s="28"/>
      <c r="I3030" s="29"/>
    </row>
    <row r="3031" spans="6:9" x14ac:dyDescent="0.3">
      <c r="F3031" s="29"/>
      <c r="G3031" s="29"/>
      <c r="H3031" s="28"/>
      <c r="I3031" s="29"/>
    </row>
    <row r="3032" spans="6:9" x14ac:dyDescent="0.3">
      <c r="F3032" s="29"/>
      <c r="G3032" s="29"/>
      <c r="H3032" s="28"/>
      <c r="I3032" s="29"/>
    </row>
    <row r="3033" spans="6:9" x14ac:dyDescent="0.3">
      <c r="F3033" s="29"/>
      <c r="G3033" s="29"/>
      <c r="H3033" s="28"/>
      <c r="I3033" s="29"/>
    </row>
    <row r="3034" spans="6:9" x14ac:dyDescent="0.3">
      <c r="F3034" s="29"/>
      <c r="G3034" s="29"/>
      <c r="H3034" s="28"/>
      <c r="I3034" s="29"/>
    </row>
    <row r="3035" spans="6:9" x14ac:dyDescent="0.3">
      <c r="F3035" s="29"/>
      <c r="G3035" s="29"/>
      <c r="H3035" s="28"/>
      <c r="I3035" s="29"/>
    </row>
    <row r="3036" spans="6:9" x14ac:dyDescent="0.3">
      <c r="F3036" s="29"/>
      <c r="G3036" s="29"/>
      <c r="H3036" s="28"/>
      <c r="I3036" s="29"/>
    </row>
    <row r="3037" spans="6:9" x14ac:dyDescent="0.3">
      <c r="F3037" s="29"/>
      <c r="G3037" s="29"/>
      <c r="H3037" s="28"/>
      <c r="I3037" s="29"/>
    </row>
    <row r="3038" spans="6:9" x14ac:dyDescent="0.3">
      <c r="F3038" s="29"/>
      <c r="G3038" s="29"/>
      <c r="H3038" s="28"/>
      <c r="I3038" s="29"/>
    </row>
    <row r="3039" spans="6:9" x14ac:dyDescent="0.3">
      <c r="F3039" s="29"/>
      <c r="G3039" s="29"/>
      <c r="H3039" s="28"/>
      <c r="I3039" s="29"/>
    </row>
    <row r="3040" spans="6:9" x14ac:dyDescent="0.3">
      <c r="F3040" s="29"/>
      <c r="G3040" s="29"/>
      <c r="H3040" s="28"/>
      <c r="I3040" s="29"/>
    </row>
    <row r="3041" spans="6:9" x14ac:dyDescent="0.3">
      <c r="F3041" s="29"/>
      <c r="G3041" s="29"/>
      <c r="H3041" s="28"/>
      <c r="I3041" s="29"/>
    </row>
    <row r="3042" spans="6:9" x14ac:dyDescent="0.3">
      <c r="F3042" s="29"/>
      <c r="G3042" s="29"/>
      <c r="H3042" s="28"/>
      <c r="I3042" s="29"/>
    </row>
    <row r="3043" spans="6:9" x14ac:dyDescent="0.3">
      <c r="F3043" s="29"/>
      <c r="G3043" s="29"/>
      <c r="H3043" s="28"/>
      <c r="I3043" s="29"/>
    </row>
    <row r="3044" spans="6:9" x14ac:dyDescent="0.3">
      <c r="F3044" s="29"/>
      <c r="G3044" s="29"/>
      <c r="H3044" s="28"/>
      <c r="I3044" s="29"/>
    </row>
    <row r="3045" spans="6:9" x14ac:dyDescent="0.3">
      <c r="F3045" s="29"/>
      <c r="G3045" s="29"/>
      <c r="H3045" s="28"/>
      <c r="I3045" s="29"/>
    </row>
    <row r="3046" spans="6:9" x14ac:dyDescent="0.3">
      <c r="F3046" s="29"/>
      <c r="G3046" s="29"/>
      <c r="H3046" s="28"/>
      <c r="I3046" s="29"/>
    </row>
    <row r="3047" spans="6:9" x14ac:dyDescent="0.3">
      <c r="F3047" s="29"/>
      <c r="G3047" s="29"/>
      <c r="H3047" s="28"/>
      <c r="I3047" s="29"/>
    </row>
    <row r="3048" spans="6:9" x14ac:dyDescent="0.3">
      <c r="F3048" s="29"/>
      <c r="G3048" s="29"/>
      <c r="H3048" s="28"/>
      <c r="I3048" s="29"/>
    </row>
    <row r="3049" spans="6:9" x14ac:dyDescent="0.3">
      <c r="F3049" s="29"/>
      <c r="G3049" s="29"/>
      <c r="H3049" s="28"/>
      <c r="I3049" s="29"/>
    </row>
    <row r="3050" spans="6:9" x14ac:dyDescent="0.3">
      <c r="F3050" s="29"/>
      <c r="G3050" s="29"/>
      <c r="H3050" s="28"/>
      <c r="I3050" s="29"/>
    </row>
    <row r="3051" spans="6:9" x14ac:dyDescent="0.3">
      <c r="F3051" s="29"/>
      <c r="G3051" s="29"/>
      <c r="H3051" s="28"/>
      <c r="I3051" s="29"/>
    </row>
    <row r="3052" spans="6:9" x14ac:dyDescent="0.3">
      <c r="F3052" s="29"/>
      <c r="G3052" s="29"/>
      <c r="H3052" s="28"/>
      <c r="I3052" s="29"/>
    </row>
    <row r="3053" spans="6:9" x14ac:dyDescent="0.3">
      <c r="F3053" s="29"/>
      <c r="G3053" s="29"/>
      <c r="H3053" s="28"/>
      <c r="I3053" s="29"/>
    </row>
    <row r="3054" spans="6:9" x14ac:dyDescent="0.3">
      <c r="F3054" s="29"/>
      <c r="G3054" s="29"/>
      <c r="H3054" s="28"/>
      <c r="I3054" s="29"/>
    </row>
    <row r="3055" spans="6:9" x14ac:dyDescent="0.3">
      <c r="F3055" s="29"/>
      <c r="G3055" s="29"/>
      <c r="H3055" s="28"/>
      <c r="I3055" s="29"/>
    </row>
    <row r="3056" spans="6:9" x14ac:dyDescent="0.3">
      <c r="F3056" s="29"/>
      <c r="G3056" s="29"/>
      <c r="H3056" s="28"/>
      <c r="I3056" s="29"/>
    </row>
    <row r="3057" spans="6:9" x14ac:dyDescent="0.3">
      <c r="F3057" s="29"/>
      <c r="G3057" s="29"/>
      <c r="H3057" s="28"/>
      <c r="I3057" s="29"/>
    </row>
    <row r="3058" spans="6:9" x14ac:dyDescent="0.3">
      <c r="F3058" s="29"/>
      <c r="G3058" s="29"/>
      <c r="H3058" s="28"/>
      <c r="I3058" s="29"/>
    </row>
    <row r="3059" spans="6:9" x14ac:dyDescent="0.3">
      <c r="F3059" s="29"/>
      <c r="G3059" s="29"/>
      <c r="H3059" s="28"/>
      <c r="I3059" s="29"/>
    </row>
    <row r="3060" spans="6:9" x14ac:dyDescent="0.3">
      <c r="F3060" s="29"/>
      <c r="G3060" s="29"/>
      <c r="H3060" s="28"/>
      <c r="I3060" s="29"/>
    </row>
    <row r="3061" spans="6:9" x14ac:dyDescent="0.3">
      <c r="F3061" s="29"/>
      <c r="G3061" s="29"/>
      <c r="H3061" s="28"/>
      <c r="I3061" s="29"/>
    </row>
    <row r="3062" spans="6:9" x14ac:dyDescent="0.3">
      <c r="F3062" s="29"/>
      <c r="G3062" s="29"/>
      <c r="H3062" s="28"/>
      <c r="I3062" s="29"/>
    </row>
    <row r="3063" spans="6:9" x14ac:dyDescent="0.3">
      <c r="F3063" s="29"/>
      <c r="G3063" s="29"/>
      <c r="H3063" s="28"/>
      <c r="I3063" s="29"/>
    </row>
    <row r="3064" spans="6:9" x14ac:dyDescent="0.3">
      <c r="F3064" s="29"/>
      <c r="G3064" s="29"/>
      <c r="H3064" s="28"/>
      <c r="I3064" s="29"/>
    </row>
    <row r="3065" spans="6:9" x14ac:dyDescent="0.3">
      <c r="F3065" s="29"/>
      <c r="G3065" s="29"/>
      <c r="H3065" s="28"/>
      <c r="I3065" s="29"/>
    </row>
    <row r="3066" spans="6:9" x14ac:dyDescent="0.3">
      <c r="F3066" s="29"/>
      <c r="G3066" s="29"/>
      <c r="H3066" s="28"/>
      <c r="I3066" s="29"/>
    </row>
    <row r="3067" spans="6:9" x14ac:dyDescent="0.3">
      <c r="F3067" s="29"/>
      <c r="G3067" s="29"/>
      <c r="H3067" s="28"/>
      <c r="I3067" s="29"/>
    </row>
    <row r="3068" spans="6:9" x14ac:dyDescent="0.3">
      <c r="F3068" s="29"/>
      <c r="G3068" s="29"/>
      <c r="H3068" s="28"/>
      <c r="I3068" s="29"/>
    </row>
    <row r="3069" spans="6:9" x14ac:dyDescent="0.3">
      <c r="F3069" s="29"/>
      <c r="G3069" s="29"/>
      <c r="H3069" s="28"/>
      <c r="I3069" s="29"/>
    </row>
    <row r="3070" spans="6:9" x14ac:dyDescent="0.3">
      <c r="F3070" s="29"/>
      <c r="G3070" s="29"/>
      <c r="H3070" s="28"/>
      <c r="I3070" s="29"/>
    </row>
    <row r="3071" spans="6:9" x14ac:dyDescent="0.3">
      <c r="F3071" s="29"/>
      <c r="G3071" s="29"/>
      <c r="H3071" s="28"/>
      <c r="I3071" s="29"/>
    </row>
    <row r="3072" spans="6:9" x14ac:dyDescent="0.3">
      <c r="F3072" s="29"/>
      <c r="G3072" s="29"/>
      <c r="H3072" s="28"/>
      <c r="I3072" s="29"/>
    </row>
    <row r="3073" spans="6:9" x14ac:dyDescent="0.3">
      <c r="F3073" s="29"/>
      <c r="G3073" s="29"/>
      <c r="H3073" s="28"/>
      <c r="I3073" s="29"/>
    </row>
    <row r="3074" spans="6:9" x14ac:dyDescent="0.3">
      <c r="F3074" s="29"/>
      <c r="G3074" s="29"/>
      <c r="H3074" s="28"/>
      <c r="I3074" s="29"/>
    </row>
    <row r="3075" spans="6:9" x14ac:dyDescent="0.3">
      <c r="F3075" s="29"/>
      <c r="G3075" s="29"/>
      <c r="H3075" s="28"/>
      <c r="I3075" s="29"/>
    </row>
    <row r="3076" spans="6:9" x14ac:dyDescent="0.3">
      <c r="F3076" s="29"/>
      <c r="G3076" s="29"/>
      <c r="H3076" s="28"/>
      <c r="I3076" s="29"/>
    </row>
    <row r="3077" spans="6:9" x14ac:dyDescent="0.3">
      <c r="F3077" s="29"/>
      <c r="G3077" s="29"/>
      <c r="H3077" s="28"/>
      <c r="I3077" s="29"/>
    </row>
    <row r="3078" spans="6:9" x14ac:dyDescent="0.3">
      <c r="F3078" s="29"/>
      <c r="G3078" s="29"/>
      <c r="H3078" s="28"/>
      <c r="I3078" s="29"/>
    </row>
    <row r="3079" spans="6:9" x14ac:dyDescent="0.3">
      <c r="F3079" s="29"/>
      <c r="G3079" s="29"/>
      <c r="H3079" s="28"/>
      <c r="I3079" s="29"/>
    </row>
    <row r="3080" spans="6:9" x14ac:dyDescent="0.3">
      <c r="F3080" s="29"/>
      <c r="G3080" s="29"/>
      <c r="H3080" s="28"/>
      <c r="I3080" s="29"/>
    </row>
    <row r="3081" spans="6:9" x14ac:dyDescent="0.3">
      <c r="F3081" s="29"/>
      <c r="G3081" s="29"/>
      <c r="H3081" s="28"/>
      <c r="I3081" s="29"/>
    </row>
    <row r="3082" spans="6:9" x14ac:dyDescent="0.3">
      <c r="F3082" s="29"/>
      <c r="G3082" s="29"/>
      <c r="H3082" s="28"/>
      <c r="I3082" s="29"/>
    </row>
    <row r="3083" spans="6:9" x14ac:dyDescent="0.3">
      <c r="F3083" s="29"/>
      <c r="G3083" s="29"/>
      <c r="H3083" s="28"/>
      <c r="I3083" s="29"/>
    </row>
    <row r="3084" spans="6:9" x14ac:dyDescent="0.3">
      <c r="F3084" s="29"/>
      <c r="G3084" s="29"/>
      <c r="H3084" s="28"/>
      <c r="I3084" s="29"/>
    </row>
    <row r="3085" spans="6:9" x14ac:dyDescent="0.3">
      <c r="F3085" s="29"/>
      <c r="G3085" s="29"/>
      <c r="H3085" s="28"/>
      <c r="I3085" s="29"/>
    </row>
    <row r="3086" spans="6:9" x14ac:dyDescent="0.3">
      <c r="F3086" s="29"/>
      <c r="G3086" s="29"/>
      <c r="H3086" s="28"/>
      <c r="I3086" s="29"/>
    </row>
    <row r="3087" spans="6:9" x14ac:dyDescent="0.3">
      <c r="F3087" s="29"/>
      <c r="G3087" s="29"/>
      <c r="H3087" s="28"/>
      <c r="I3087" s="29"/>
    </row>
    <row r="3088" spans="6:9" x14ac:dyDescent="0.3">
      <c r="F3088" s="29"/>
      <c r="G3088" s="29"/>
      <c r="H3088" s="28"/>
      <c r="I3088" s="29"/>
    </row>
    <row r="3089" spans="6:9" x14ac:dyDescent="0.3">
      <c r="F3089" s="29"/>
      <c r="G3089" s="29"/>
      <c r="H3089" s="28"/>
      <c r="I3089" s="29"/>
    </row>
    <row r="3090" spans="6:9" x14ac:dyDescent="0.3">
      <c r="F3090" s="29"/>
      <c r="G3090" s="29"/>
      <c r="H3090" s="28"/>
      <c r="I3090" s="29"/>
    </row>
    <row r="3091" spans="6:9" x14ac:dyDescent="0.3">
      <c r="F3091" s="29"/>
      <c r="G3091" s="29"/>
      <c r="H3091" s="28"/>
      <c r="I3091" s="29"/>
    </row>
    <row r="3092" spans="6:9" x14ac:dyDescent="0.3">
      <c r="F3092" s="29"/>
      <c r="G3092" s="29"/>
      <c r="H3092" s="28"/>
      <c r="I3092" s="29"/>
    </row>
    <row r="3093" spans="6:9" x14ac:dyDescent="0.3">
      <c r="F3093" s="29"/>
      <c r="G3093" s="29"/>
      <c r="H3093" s="28"/>
      <c r="I3093" s="29"/>
    </row>
    <row r="3094" spans="6:9" x14ac:dyDescent="0.3">
      <c r="F3094" s="29"/>
      <c r="G3094" s="29"/>
      <c r="H3094" s="28"/>
      <c r="I3094" s="29"/>
    </row>
    <row r="3095" spans="6:9" x14ac:dyDescent="0.3">
      <c r="F3095" s="29"/>
      <c r="G3095" s="29"/>
      <c r="H3095" s="28"/>
      <c r="I3095" s="29"/>
    </row>
    <row r="3096" spans="6:9" x14ac:dyDescent="0.3">
      <c r="F3096" s="29"/>
      <c r="G3096" s="29"/>
      <c r="H3096" s="28"/>
      <c r="I3096" s="29"/>
    </row>
    <row r="3097" spans="6:9" x14ac:dyDescent="0.3">
      <c r="F3097" s="29"/>
      <c r="G3097" s="29"/>
      <c r="H3097" s="28"/>
      <c r="I3097" s="29"/>
    </row>
    <row r="3098" spans="6:9" x14ac:dyDescent="0.3">
      <c r="F3098" s="29"/>
      <c r="G3098" s="29"/>
      <c r="H3098" s="28"/>
      <c r="I3098" s="29"/>
    </row>
    <row r="3099" spans="6:9" x14ac:dyDescent="0.3">
      <c r="F3099" s="29"/>
      <c r="G3099" s="29"/>
      <c r="H3099" s="28"/>
      <c r="I3099" s="29"/>
    </row>
    <row r="3100" spans="6:9" x14ac:dyDescent="0.3">
      <c r="F3100" s="29"/>
      <c r="G3100" s="29"/>
      <c r="H3100" s="28"/>
      <c r="I3100" s="29"/>
    </row>
    <row r="3101" spans="6:9" x14ac:dyDescent="0.3">
      <c r="F3101" s="29"/>
      <c r="G3101" s="29"/>
      <c r="H3101" s="28"/>
      <c r="I3101" s="29"/>
    </row>
    <row r="3102" spans="6:9" x14ac:dyDescent="0.3">
      <c r="F3102" s="29"/>
      <c r="G3102" s="29"/>
      <c r="H3102" s="28"/>
      <c r="I3102" s="29"/>
    </row>
    <row r="3103" spans="6:9" x14ac:dyDescent="0.3">
      <c r="F3103" s="29"/>
      <c r="G3103" s="29"/>
      <c r="H3103" s="28"/>
      <c r="I3103" s="29"/>
    </row>
    <row r="3104" spans="6:9" x14ac:dyDescent="0.3">
      <c r="F3104" s="29"/>
      <c r="G3104" s="29"/>
      <c r="H3104" s="28"/>
      <c r="I3104" s="29"/>
    </row>
    <row r="3105" spans="6:9" x14ac:dyDescent="0.3">
      <c r="F3105" s="29"/>
      <c r="G3105" s="29"/>
      <c r="H3105" s="28"/>
      <c r="I3105" s="29"/>
    </row>
    <row r="3106" spans="6:9" x14ac:dyDescent="0.3">
      <c r="F3106" s="29"/>
      <c r="G3106" s="29"/>
      <c r="H3106" s="28"/>
      <c r="I3106" s="29"/>
    </row>
    <row r="3107" spans="6:9" x14ac:dyDescent="0.3">
      <c r="F3107" s="29"/>
      <c r="G3107" s="29"/>
      <c r="H3107" s="28"/>
      <c r="I3107" s="29"/>
    </row>
    <row r="3108" spans="6:9" x14ac:dyDescent="0.3">
      <c r="F3108" s="29"/>
      <c r="G3108" s="29"/>
      <c r="H3108" s="28"/>
      <c r="I3108" s="29"/>
    </row>
    <row r="3109" spans="6:9" x14ac:dyDescent="0.3">
      <c r="F3109" s="29"/>
      <c r="G3109" s="29"/>
      <c r="H3109" s="28"/>
      <c r="I3109" s="29"/>
    </row>
    <row r="3110" spans="6:9" x14ac:dyDescent="0.3">
      <c r="F3110" s="29"/>
      <c r="G3110" s="29"/>
      <c r="H3110" s="28"/>
      <c r="I3110" s="29"/>
    </row>
    <row r="3111" spans="6:9" x14ac:dyDescent="0.3">
      <c r="F3111" s="29"/>
      <c r="G3111" s="29"/>
      <c r="H3111" s="28"/>
      <c r="I3111" s="29"/>
    </row>
    <row r="3112" spans="6:9" x14ac:dyDescent="0.3">
      <c r="F3112" s="29"/>
      <c r="G3112" s="29"/>
      <c r="H3112" s="28"/>
      <c r="I3112" s="29"/>
    </row>
    <row r="3113" spans="6:9" x14ac:dyDescent="0.3">
      <c r="F3113" s="29"/>
      <c r="G3113" s="29"/>
      <c r="H3113" s="28"/>
      <c r="I3113" s="29"/>
    </row>
    <row r="3114" spans="6:9" x14ac:dyDescent="0.3">
      <c r="F3114" s="29"/>
      <c r="G3114" s="29"/>
      <c r="H3114" s="28"/>
      <c r="I3114" s="29"/>
    </row>
    <row r="3115" spans="6:9" x14ac:dyDescent="0.3">
      <c r="F3115" s="29"/>
      <c r="G3115" s="29"/>
      <c r="H3115" s="28"/>
      <c r="I3115" s="29"/>
    </row>
    <row r="3116" spans="6:9" x14ac:dyDescent="0.3">
      <c r="F3116" s="29"/>
      <c r="G3116" s="29"/>
      <c r="H3116" s="28"/>
      <c r="I3116" s="29"/>
    </row>
    <row r="3117" spans="6:9" x14ac:dyDescent="0.3">
      <c r="F3117" s="29"/>
      <c r="G3117" s="29"/>
      <c r="H3117" s="28"/>
      <c r="I3117" s="29"/>
    </row>
    <row r="3118" spans="6:9" x14ac:dyDescent="0.3">
      <c r="F3118" s="29"/>
      <c r="G3118" s="29"/>
      <c r="H3118" s="28"/>
      <c r="I3118" s="29"/>
    </row>
    <row r="3119" spans="6:9" x14ac:dyDescent="0.3">
      <c r="F3119" s="29"/>
      <c r="G3119" s="29"/>
      <c r="H3119" s="28"/>
      <c r="I3119" s="29"/>
    </row>
    <row r="3120" spans="6:9" x14ac:dyDescent="0.3">
      <c r="F3120" s="29"/>
      <c r="G3120" s="29"/>
      <c r="H3120" s="28"/>
      <c r="I3120" s="29"/>
    </row>
    <row r="3121" spans="6:9" x14ac:dyDescent="0.3">
      <c r="F3121" s="29"/>
      <c r="G3121" s="29"/>
      <c r="H3121" s="28"/>
      <c r="I3121" s="29"/>
    </row>
    <row r="3122" spans="6:9" x14ac:dyDescent="0.3">
      <c r="F3122" s="29"/>
      <c r="G3122" s="29"/>
      <c r="H3122" s="28"/>
      <c r="I3122" s="29"/>
    </row>
    <row r="3123" spans="6:9" x14ac:dyDescent="0.3">
      <c r="F3123" s="29"/>
      <c r="G3123" s="29"/>
      <c r="H3123" s="28"/>
      <c r="I3123" s="29"/>
    </row>
    <row r="3124" spans="6:9" x14ac:dyDescent="0.3">
      <c r="F3124" s="29"/>
      <c r="G3124" s="29"/>
      <c r="H3124" s="28"/>
      <c r="I3124" s="29"/>
    </row>
    <row r="3125" spans="6:9" x14ac:dyDescent="0.3">
      <c r="F3125" s="29"/>
      <c r="G3125" s="29"/>
      <c r="H3125" s="28"/>
      <c r="I3125" s="29"/>
    </row>
    <row r="3126" spans="6:9" x14ac:dyDescent="0.3">
      <c r="F3126" s="29"/>
      <c r="G3126" s="29"/>
      <c r="H3126" s="28"/>
      <c r="I3126" s="29"/>
    </row>
    <row r="3127" spans="6:9" x14ac:dyDescent="0.3">
      <c r="F3127" s="29"/>
      <c r="G3127" s="29"/>
      <c r="H3127" s="28"/>
      <c r="I3127" s="29"/>
    </row>
    <row r="3128" spans="6:9" x14ac:dyDescent="0.3">
      <c r="F3128" s="29"/>
      <c r="G3128" s="29"/>
      <c r="H3128" s="28"/>
      <c r="I3128" s="29"/>
    </row>
    <row r="3129" spans="6:9" x14ac:dyDescent="0.3">
      <c r="F3129" s="29"/>
      <c r="G3129" s="29"/>
      <c r="H3129" s="28"/>
      <c r="I3129" s="29"/>
    </row>
    <row r="3130" spans="6:9" x14ac:dyDescent="0.3">
      <c r="F3130" s="29"/>
      <c r="G3130" s="29"/>
      <c r="H3130" s="28"/>
      <c r="I3130" s="29"/>
    </row>
    <row r="3131" spans="6:9" x14ac:dyDescent="0.3">
      <c r="F3131" s="29"/>
      <c r="G3131" s="29"/>
      <c r="H3131" s="28"/>
      <c r="I3131" s="29"/>
    </row>
    <row r="3132" spans="6:9" x14ac:dyDescent="0.3">
      <c r="F3132" s="29"/>
      <c r="G3132" s="29"/>
      <c r="H3132" s="28"/>
      <c r="I3132" s="29"/>
    </row>
    <row r="3133" spans="6:9" x14ac:dyDescent="0.3">
      <c r="F3133" s="29"/>
      <c r="G3133" s="29"/>
      <c r="H3133" s="28"/>
      <c r="I3133" s="29"/>
    </row>
    <row r="3134" spans="6:9" x14ac:dyDescent="0.3">
      <c r="F3134" s="29"/>
      <c r="G3134" s="29"/>
      <c r="H3134" s="28"/>
      <c r="I3134" s="29"/>
    </row>
    <row r="3135" spans="6:9" x14ac:dyDescent="0.3">
      <c r="F3135" s="29"/>
      <c r="G3135" s="29"/>
      <c r="H3135" s="28"/>
      <c r="I3135" s="29"/>
    </row>
    <row r="3136" spans="6:9" x14ac:dyDescent="0.3">
      <c r="F3136" s="29"/>
      <c r="G3136" s="29"/>
      <c r="H3136" s="28"/>
      <c r="I3136" s="29"/>
    </row>
    <row r="3137" spans="6:9" x14ac:dyDescent="0.3">
      <c r="F3137" s="29"/>
      <c r="G3137" s="29"/>
      <c r="H3137" s="28"/>
      <c r="I3137" s="29"/>
    </row>
    <row r="3138" spans="6:9" x14ac:dyDescent="0.3">
      <c r="F3138" s="29"/>
      <c r="G3138" s="29"/>
      <c r="H3138" s="28"/>
      <c r="I3138" s="29"/>
    </row>
    <row r="3139" spans="6:9" x14ac:dyDescent="0.3">
      <c r="F3139" s="29"/>
      <c r="G3139" s="29"/>
      <c r="H3139" s="28"/>
      <c r="I3139" s="29"/>
    </row>
    <row r="3140" spans="6:9" x14ac:dyDescent="0.3">
      <c r="F3140" s="29"/>
      <c r="G3140" s="29"/>
      <c r="H3140" s="28"/>
      <c r="I3140" s="29"/>
    </row>
    <row r="3141" spans="6:9" x14ac:dyDescent="0.3">
      <c r="F3141" s="29"/>
      <c r="G3141" s="29"/>
      <c r="H3141" s="28"/>
      <c r="I3141" s="29"/>
    </row>
    <row r="3142" spans="6:9" x14ac:dyDescent="0.3">
      <c r="F3142" s="29"/>
      <c r="G3142" s="29"/>
      <c r="H3142" s="28"/>
      <c r="I3142" s="29"/>
    </row>
    <row r="3143" spans="6:9" x14ac:dyDescent="0.3">
      <c r="F3143" s="29"/>
      <c r="G3143" s="29"/>
      <c r="H3143" s="28"/>
      <c r="I3143" s="29"/>
    </row>
    <row r="3144" spans="6:9" x14ac:dyDescent="0.3">
      <c r="F3144" s="29"/>
      <c r="G3144" s="29"/>
      <c r="H3144" s="28"/>
      <c r="I3144" s="29"/>
    </row>
    <row r="3145" spans="6:9" x14ac:dyDescent="0.3">
      <c r="F3145" s="29"/>
      <c r="G3145" s="29"/>
      <c r="H3145" s="28"/>
      <c r="I3145" s="29"/>
    </row>
    <row r="3146" spans="6:9" x14ac:dyDescent="0.3">
      <c r="F3146" s="29"/>
      <c r="G3146" s="29"/>
      <c r="H3146" s="28"/>
      <c r="I3146" s="29"/>
    </row>
    <row r="3147" spans="6:9" x14ac:dyDescent="0.3">
      <c r="F3147" s="29"/>
      <c r="G3147" s="29"/>
      <c r="H3147" s="28"/>
      <c r="I3147" s="29"/>
    </row>
    <row r="3148" spans="6:9" x14ac:dyDescent="0.3">
      <c r="F3148" s="29"/>
      <c r="G3148" s="29"/>
      <c r="H3148" s="28"/>
      <c r="I3148" s="29"/>
    </row>
    <row r="3149" spans="6:9" x14ac:dyDescent="0.3">
      <c r="F3149" s="29"/>
      <c r="G3149" s="29"/>
      <c r="H3149" s="28"/>
      <c r="I3149" s="29"/>
    </row>
    <row r="3150" spans="6:9" x14ac:dyDescent="0.3">
      <c r="F3150" s="29"/>
      <c r="G3150" s="29"/>
      <c r="H3150" s="28"/>
      <c r="I3150" s="29"/>
    </row>
    <row r="3151" spans="6:9" x14ac:dyDescent="0.3">
      <c r="F3151" s="29"/>
      <c r="G3151" s="29"/>
      <c r="H3151" s="28"/>
      <c r="I3151" s="29"/>
    </row>
    <row r="3152" spans="6:9" x14ac:dyDescent="0.3">
      <c r="F3152" s="29"/>
      <c r="G3152" s="29"/>
      <c r="H3152" s="28"/>
      <c r="I3152" s="29"/>
    </row>
    <row r="3153" spans="6:9" x14ac:dyDescent="0.3">
      <c r="F3153" s="29"/>
      <c r="G3153" s="29"/>
      <c r="H3153" s="28"/>
      <c r="I3153" s="29"/>
    </row>
    <row r="3154" spans="6:9" x14ac:dyDescent="0.3">
      <c r="F3154" s="29"/>
      <c r="G3154" s="29"/>
      <c r="H3154" s="28"/>
      <c r="I3154" s="29"/>
    </row>
    <row r="3155" spans="6:9" x14ac:dyDescent="0.3">
      <c r="F3155" s="29"/>
      <c r="G3155" s="29"/>
      <c r="H3155" s="28"/>
      <c r="I3155" s="29"/>
    </row>
    <row r="3156" spans="6:9" x14ac:dyDescent="0.3">
      <c r="F3156" s="29"/>
      <c r="G3156" s="29"/>
      <c r="H3156" s="28"/>
      <c r="I3156" s="29"/>
    </row>
    <row r="3157" spans="6:9" x14ac:dyDescent="0.3">
      <c r="F3157" s="29"/>
      <c r="G3157" s="29"/>
      <c r="H3157" s="28"/>
      <c r="I3157" s="29"/>
    </row>
    <row r="3158" spans="6:9" x14ac:dyDescent="0.3">
      <c r="F3158" s="29"/>
      <c r="G3158" s="29"/>
      <c r="H3158" s="28"/>
      <c r="I3158" s="29"/>
    </row>
    <row r="3159" spans="6:9" x14ac:dyDescent="0.3">
      <c r="F3159" s="29"/>
      <c r="G3159" s="29"/>
      <c r="H3159" s="28"/>
      <c r="I3159" s="29"/>
    </row>
    <row r="3160" spans="6:9" x14ac:dyDescent="0.3">
      <c r="F3160" s="29"/>
      <c r="G3160" s="29"/>
      <c r="H3160" s="28"/>
      <c r="I3160" s="29"/>
    </row>
    <row r="3161" spans="6:9" x14ac:dyDescent="0.3">
      <c r="F3161" s="29"/>
      <c r="G3161" s="29"/>
      <c r="H3161" s="28"/>
      <c r="I3161" s="29"/>
    </row>
    <row r="3162" spans="6:9" x14ac:dyDescent="0.3">
      <c r="F3162" s="29"/>
      <c r="G3162" s="29"/>
      <c r="H3162" s="28"/>
      <c r="I3162" s="29"/>
    </row>
    <row r="3163" spans="6:9" x14ac:dyDescent="0.3">
      <c r="F3163" s="29"/>
      <c r="G3163" s="29"/>
      <c r="H3163" s="28"/>
      <c r="I3163" s="29"/>
    </row>
    <row r="3164" spans="6:9" x14ac:dyDescent="0.3">
      <c r="F3164" s="29"/>
      <c r="G3164" s="29"/>
      <c r="H3164" s="28"/>
      <c r="I3164" s="29"/>
    </row>
    <row r="3165" spans="6:9" x14ac:dyDescent="0.3">
      <c r="F3165" s="29"/>
      <c r="G3165" s="29"/>
      <c r="H3165" s="28"/>
      <c r="I3165" s="29"/>
    </row>
    <row r="3166" spans="6:9" x14ac:dyDescent="0.3">
      <c r="F3166" s="29"/>
      <c r="G3166" s="29"/>
      <c r="H3166" s="28"/>
      <c r="I3166" s="29"/>
    </row>
    <row r="3167" spans="6:9" x14ac:dyDescent="0.3">
      <c r="F3167" s="29"/>
      <c r="G3167" s="29"/>
      <c r="H3167" s="28"/>
      <c r="I3167" s="29"/>
    </row>
    <row r="3168" spans="6:9" x14ac:dyDescent="0.3">
      <c r="F3168" s="29"/>
      <c r="G3168" s="29"/>
      <c r="H3168" s="28"/>
      <c r="I3168" s="29"/>
    </row>
    <row r="3169" spans="6:9" x14ac:dyDescent="0.3">
      <c r="F3169" s="29"/>
      <c r="G3169" s="29"/>
      <c r="H3169" s="28"/>
      <c r="I3169" s="29"/>
    </row>
    <row r="3170" spans="6:9" x14ac:dyDescent="0.3">
      <c r="F3170" s="29"/>
      <c r="G3170" s="29"/>
      <c r="H3170" s="28"/>
      <c r="I3170" s="29"/>
    </row>
    <row r="3171" spans="6:9" x14ac:dyDescent="0.3">
      <c r="F3171" s="29"/>
      <c r="G3171" s="29"/>
      <c r="H3171" s="28"/>
      <c r="I3171" s="29"/>
    </row>
    <row r="3172" spans="6:9" x14ac:dyDescent="0.3">
      <c r="F3172" s="29"/>
      <c r="G3172" s="29"/>
      <c r="H3172" s="28"/>
      <c r="I3172" s="29"/>
    </row>
    <row r="3173" spans="6:9" x14ac:dyDescent="0.3">
      <c r="F3173" s="29"/>
      <c r="G3173" s="29"/>
      <c r="H3173" s="28"/>
      <c r="I3173" s="29"/>
    </row>
    <row r="3174" spans="6:9" x14ac:dyDescent="0.3">
      <c r="F3174" s="29"/>
      <c r="G3174" s="29"/>
      <c r="H3174" s="28"/>
      <c r="I3174" s="29"/>
    </row>
    <row r="3175" spans="6:9" x14ac:dyDescent="0.3">
      <c r="F3175" s="29"/>
      <c r="G3175" s="29"/>
      <c r="H3175" s="28"/>
      <c r="I3175" s="29"/>
    </row>
    <row r="3176" spans="6:9" x14ac:dyDescent="0.3">
      <c r="F3176" s="29"/>
      <c r="G3176" s="29"/>
      <c r="H3176" s="28"/>
      <c r="I3176" s="29"/>
    </row>
    <row r="3177" spans="6:9" x14ac:dyDescent="0.3">
      <c r="F3177" s="29"/>
      <c r="G3177" s="29"/>
      <c r="H3177" s="28"/>
      <c r="I3177" s="29"/>
    </row>
    <row r="3178" spans="6:9" x14ac:dyDescent="0.3">
      <c r="F3178" s="29"/>
      <c r="G3178" s="29"/>
      <c r="H3178" s="28"/>
      <c r="I3178" s="29"/>
    </row>
    <row r="3179" spans="6:9" x14ac:dyDescent="0.3">
      <c r="F3179" s="29"/>
      <c r="G3179" s="29"/>
      <c r="H3179" s="28"/>
      <c r="I3179" s="29"/>
    </row>
    <row r="3180" spans="6:9" x14ac:dyDescent="0.3">
      <c r="F3180" s="29"/>
      <c r="G3180" s="29"/>
      <c r="H3180" s="28"/>
      <c r="I3180" s="29"/>
    </row>
    <row r="3181" spans="6:9" x14ac:dyDescent="0.3">
      <c r="F3181" s="29"/>
      <c r="G3181" s="29"/>
      <c r="H3181" s="28"/>
      <c r="I3181" s="29"/>
    </row>
    <row r="3182" spans="6:9" x14ac:dyDescent="0.3">
      <c r="F3182" s="29"/>
      <c r="G3182" s="29"/>
      <c r="H3182" s="28"/>
      <c r="I3182" s="29"/>
    </row>
    <row r="3183" spans="6:9" x14ac:dyDescent="0.3">
      <c r="F3183" s="29"/>
      <c r="G3183" s="29"/>
      <c r="H3183" s="28"/>
      <c r="I3183" s="29"/>
    </row>
    <row r="3184" spans="6:9" x14ac:dyDescent="0.3">
      <c r="F3184" s="29"/>
      <c r="G3184" s="29"/>
      <c r="H3184" s="28"/>
      <c r="I3184" s="29"/>
    </row>
    <row r="3185" spans="6:9" x14ac:dyDescent="0.3">
      <c r="F3185" s="29"/>
      <c r="G3185" s="29"/>
      <c r="H3185" s="28"/>
      <c r="I3185" s="29"/>
    </row>
    <row r="3186" spans="6:9" x14ac:dyDescent="0.3">
      <c r="F3186" s="29"/>
      <c r="G3186" s="29"/>
      <c r="H3186" s="28"/>
      <c r="I3186" s="29"/>
    </row>
    <row r="3187" spans="6:9" x14ac:dyDescent="0.3">
      <c r="F3187" s="29"/>
      <c r="G3187" s="29"/>
      <c r="H3187" s="28"/>
      <c r="I3187" s="29"/>
    </row>
    <row r="3188" spans="6:9" x14ac:dyDescent="0.3">
      <c r="F3188" s="29"/>
      <c r="G3188" s="29"/>
      <c r="H3188" s="28"/>
      <c r="I3188" s="29"/>
    </row>
    <row r="3189" spans="6:9" x14ac:dyDescent="0.3">
      <c r="F3189" s="29"/>
      <c r="G3189" s="29"/>
      <c r="H3189" s="28"/>
      <c r="I3189" s="29"/>
    </row>
    <row r="3190" spans="6:9" x14ac:dyDescent="0.3">
      <c r="F3190" s="29"/>
      <c r="G3190" s="29"/>
      <c r="H3190" s="28"/>
      <c r="I3190" s="29"/>
    </row>
    <row r="3191" spans="6:9" x14ac:dyDescent="0.3">
      <c r="F3191" s="29"/>
      <c r="G3191" s="29"/>
      <c r="H3191" s="28"/>
      <c r="I3191" s="29"/>
    </row>
    <row r="3192" spans="6:9" x14ac:dyDescent="0.3">
      <c r="F3192" s="29"/>
      <c r="G3192" s="29"/>
      <c r="H3192" s="28"/>
      <c r="I3192" s="29"/>
    </row>
    <row r="3193" spans="6:9" x14ac:dyDescent="0.3">
      <c r="F3193" s="29"/>
      <c r="G3193" s="29"/>
      <c r="H3193" s="28"/>
      <c r="I3193" s="29"/>
    </row>
    <row r="3194" spans="6:9" x14ac:dyDescent="0.3">
      <c r="F3194" s="29"/>
      <c r="G3194" s="29"/>
      <c r="H3194" s="28"/>
      <c r="I3194" s="29"/>
    </row>
    <row r="3195" spans="6:9" x14ac:dyDescent="0.3">
      <c r="F3195" s="29"/>
      <c r="G3195" s="29"/>
      <c r="H3195" s="28"/>
      <c r="I3195" s="29"/>
    </row>
    <row r="3196" spans="6:9" x14ac:dyDescent="0.3">
      <c r="F3196" s="29"/>
      <c r="G3196" s="29"/>
      <c r="H3196" s="28"/>
      <c r="I3196" s="29"/>
    </row>
    <row r="3197" spans="6:9" x14ac:dyDescent="0.3">
      <c r="F3197" s="29"/>
      <c r="G3197" s="29"/>
      <c r="H3197" s="28"/>
      <c r="I3197" s="29"/>
    </row>
    <row r="3198" spans="6:9" x14ac:dyDescent="0.3">
      <c r="F3198" s="29"/>
      <c r="G3198" s="29"/>
      <c r="H3198" s="28"/>
      <c r="I3198" s="29"/>
    </row>
    <row r="3199" spans="6:9" x14ac:dyDescent="0.3">
      <c r="F3199" s="29"/>
      <c r="G3199" s="29"/>
      <c r="H3199" s="28"/>
      <c r="I3199" s="29"/>
    </row>
    <row r="3200" spans="6:9" x14ac:dyDescent="0.3">
      <c r="F3200" s="29"/>
      <c r="G3200" s="29"/>
      <c r="H3200" s="28"/>
      <c r="I3200" s="29"/>
    </row>
    <row r="3201" spans="6:9" x14ac:dyDescent="0.3">
      <c r="F3201" s="29"/>
      <c r="G3201" s="29"/>
      <c r="H3201" s="28"/>
      <c r="I3201" s="29"/>
    </row>
    <row r="3202" spans="6:9" x14ac:dyDescent="0.3">
      <c r="F3202" s="29"/>
      <c r="G3202" s="29"/>
      <c r="H3202" s="28"/>
      <c r="I3202" s="29"/>
    </row>
    <row r="3203" spans="6:9" x14ac:dyDescent="0.3">
      <c r="F3203" s="29"/>
      <c r="G3203" s="29"/>
      <c r="H3203" s="28"/>
      <c r="I3203" s="29"/>
    </row>
    <row r="3204" spans="6:9" x14ac:dyDescent="0.3">
      <c r="F3204" s="29"/>
      <c r="G3204" s="29"/>
      <c r="H3204" s="28"/>
      <c r="I3204" s="29"/>
    </row>
    <row r="3205" spans="6:9" x14ac:dyDescent="0.3">
      <c r="F3205" s="29"/>
      <c r="G3205" s="29"/>
      <c r="H3205" s="28"/>
      <c r="I3205" s="29"/>
    </row>
    <row r="3206" spans="6:9" x14ac:dyDescent="0.3">
      <c r="F3206" s="29"/>
      <c r="G3206" s="29"/>
      <c r="H3206" s="28"/>
      <c r="I3206" s="29"/>
    </row>
    <row r="3207" spans="6:9" x14ac:dyDescent="0.3">
      <c r="F3207" s="29"/>
      <c r="G3207" s="29"/>
      <c r="H3207" s="28"/>
      <c r="I3207" s="29"/>
    </row>
    <row r="3208" spans="6:9" x14ac:dyDescent="0.3">
      <c r="F3208" s="29"/>
      <c r="G3208" s="29"/>
      <c r="H3208" s="28"/>
      <c r="I3208" s="29"/>
    </row>
    <row r="3209" spans="6:9" x14ac:dyDescent="0.3">
      <c r="F3209" s="29"/>
      <c r="G3209" s="29"/>
      <c r="H3209" s="28"/>
      <c r="I3209" s="29"/>
    </row>
    <row r="3210" spans="6:9" x14ac:dyDescent="0.3">
      <c r="F3210" s="29"/>
      <c r="G3210" s="29"/>
      <c r="H3210" s="28"/>
      <c r="I3210" s="29"/>
    </row>
    <row r="3211" spans="6:9" x14ac:dyDescent="0.3">
      <c r="F3211" s="29"/>
      <c r="G3211" s="29"/>
      <c r="H3211" s="28"/>
      <c r="I3211" s="29"/>
    </row>
    <row r="3212" spans="6:9" x14ac:dyDescent="0.3">
      <c r="F3212" s="29"/>
      <c r="G3212" s="29"/>
      <c r="H3212" s="28"/>
      <c r="I3212" s="29"/>
    </row>
    <row r="3213" spans="6:9" x14ac:dyDescent="0.3">
      <c r="F3213" s="29"/>
      <c r="G3213" s="29"/>
      <c r="H3213" s="28"/>
      <c r="I3213" s="29"/>
    </row>
    <row r="3214" spans="6:9" x14ac:dyDescent="0.3">
      <c r="F3214" s="29"/>
      <c r="G3214" s="29"/>
      <c r="H3214" s="28"/>
      <c r="I3214" s="29"/>
    </row>
    <row r="3215" spans="6:9" x14ac:dyDescent="0.3">
      <c r="F3215" s="29"/>
      <c r="G3215" s="29"/>
      <c r="H3215" s="28"/>
      <c r="I3215" s="29"/>
    </row>
    <row r="3216" spans="6:9" x14ac:dyDescent="0.3">
      <c r="F3216" s="29"/>
      <c r="G3216" s="29"/>
      <c r="H3216" s="28"/>
      <c r="I3216" s="29"/>
    </row>
    <row r="3217" spans="6:9" x14ac:dyDescent="0.3">
      <c r="F3217" s="29"/>
      <c r="G3217" s="29"/>
      <c r="H3217" s="28"/>
      <c r="I3217" s="29"/>
    </row>
    <row r="3218" spans="6:9" x14ac:dyDescent="0.3">
      <c r="F3218" s="29"/>
      <c r="G3218" s="29"/>
      <c r="H3218" s="28"/>
      <c r="I3218" s="29"/>
    </row>
    <row r="3219" spans="6:9" x14ac:dyDescent="0.3">
      <c r="F3219" s="29"/>
      <c r="G3219" s="29"/>
      <c r="H3219" s="28"/>
      <c r="I3219" s="29"/>
    </row>
    <row r="3220" spans="6:9" x14ac:dyDescent="0.3">
      <c r="F3220" s="29"/>
      <c r="G3220" s="29"/>
      <c r="H3220" s="28"/>
      <c r="I3220" s="29"/>
    </row>
    <row r="3221" spans="6:9" x14ac:dyDescent="0.3">
      <c r="F3221" s="29"/>
      <c r="G3221" s="29"/>
      <c r="H3221" s="28"/>
      <c r="I3221" s="29"/>
    </row>
    <row r="3222" spans="6:9" x14ac:dyDescent="0.3">
      <c r="F3222" s="29"/>
      <c r="G3222" s="29"/>
      <c r="H3222" s="28"/>
      <c r="I3222" s="29"/>
    </row>
    <row r="3223" spans="6:9" x14ac:dyDescent="0.3">
      <c r="F3223" s="29"/>
      <c r="G3223" s="29"/>
      <c r="H3223" s="28"/>
      <c r="I3223" s="29"/>
    </row>
    <row r="3224" spans="6:9" x14ac:dyDescent="0.3">
      <c r="F3224" s="29"/>
      <c r="G3224" s="29"/>
      <c r="H3224" s="28"/>
      <c r="I3224" s="29"/>
    </row>
    <row r="3225" spans="6:9" x14ac:dyDescent="0.3">
      <c r="F3225" s="29"/>
      <c r="G3225" s="29"/>
      <c r="H3225" s="28"/>
      <c r="I3225" s="29"/>
    </row>
    <row r="3226" spans="6:9" x14ac:dyDescent="0.3">
      <c r="F3226" s="29"/>
      <c r="G3226" s="29"/>
      <c r="H3226" s="28"/>
      <c r="I3226" s="29"/>
    </row>
    <row r="3227" spans="6:9" x14ac:dyDescent="0.3">
      <c r="F3227" s="29"/>
      <c r="G3227" s="29"/>
      <c r="H3227" s="28"/>
      <c r="I3227" s="29"/>
    </row>
    <row r="3228" spans="6:9" x14ac:dyDescent="0.3">
      <c r="F3228" s="29"/>
      <c r="G3228" s="29"/>
      <c r="H3228" s="28"/>
      <c r="I3228" s="29"/>
    </row>
    <row r="3229" spans="6:9" x14ac:dyDescent="0.3">
      <c r="F3229" s="29"/>
      <c r="G3229" s="29"/>
      <c r="H3229" s="28"/>
      <c r="I3229" s="29"/>
    </row>
    <row r="3230" spans="6:9" x14ac:dyDescent="0.3">
      <c r="F3230" s="29"/>
      <c r="G3230" s="29"/>
      <c r="H3230" s="28"/>
      <c r="I3230" s="29"/>
    </row>
    <row r="3231" spans="6:9" x14ac:dyDescent="0.3">
      <c r="F3231" s="29"/>
      <c r="G3231" s="29"/>
      <c r="H3231" s="28"/>
      <c r="I3231" s="29"/>
    </row>
    <row r="3232" spans="6:9" x14ac:dyDescent="0.3">
      <c r="F3232" s="29"/>
      <c r="G3232" s="29"/>
      <c r="H3232" s="28"/>
      <c r="I3232" s="29"/>
    </row>
    <row r="3233" spans="6:9" x14ac:dyDescent="0.3">
      <c r="F3233" s="29"/>
      <c r="G3233" s="29"/>
      <c r="H3233" s="28"/>
      <c r="I3233" s="29"/>
    </row>
    <row r="3234" spans="6:9" x14ac:dyDescent="0.3">
      <c r="F3234" s="29"/>
      <c r="G3234" s="29"/>
      <c r="H3234" s="28"/>
      <c r="I3234" s="29"/>
    </row>
    <row r="3235" spans="6:9" x14ac:dyDescent="0.3">
      <c r="F3235" s="29"/>
      <c r="G3235" s="29"/>
      <c r="H3235" s="28"/>
      <c r="I3235" s="29"/>
    </row>
    <row r="3236" spans="6:9" x14ac:dyDescent="0.3">
      <c r="F3236" s="29"/>
      <c r="G3236" s="29"/>
      <c r="H3236" s="28"/>
      <c r="I3236" s="29"/>
    </row>
    <row r="3237" spans="6:9" x14ac:dyDescent="0.3">
      <c r="F3237" s="29"/>
      <c r="G3237" s="29"/>
      <c r="H3237" s="28"/>
      <c r="I3237" s="29"/>
    </row>
    <row r="3238" spans="6:9" x14ac:dyDescent="0.3">
      <c r="F3238" s="29"/>
      <c r="G3238" s="29"/>
      <c r="H3238" s="28"/>
      <c r="I3238" s="29"/>
    </row>
    <row r="3239" spans="6:9" x14ac:dyDescent="0.3">
      <c r="F3239" s="29"/>
      <c r="G3239" s="29"/>
      <c r="H3239" s="28"/>
      <c r="I3239" s="29"/>
    </row>
    <row r="3240" spans="6:9" x14ac:dyDescent="0.3">
      <c r="F3240" s="29"/>
      <c r="G3240" s="29"/>
      <c r="H3240" s="28"/>
      <c r="I3240" s="29"/>
    </row>
    <row r="3241" spans="6:9" x14ac:dyDescent="0.3">
      <c r="F3241" s="29"/>
      <c r="G3241" s="29"/>
      <c r="H3241" s="28"/>
      <c r="I3241" s="29"/>
    </row>
    <row r="3242" spans="6:9" x14ac:dyDescent="0.3">
      <c r="F3242" s="29"/>
      <c r="G3242" s="29"/>
      <c r="H3242" s="28"/>
      <c r="I3242" s="29"/>
    </row>
    <row r="3243" spans="6:9" x14ac:dyDescent="0.3">
      <c r="F3243" s="29"/>
      <c r="G3243" s="29"/>
      <c r="H3243" s="28"/>
      <c r="I3243" s="29"/>
    </row>
    <row r="3244" spans="6:9" x14ac:dyDescent="0.3">
      <c r="F3244" s="29"/>
      <c r="G3244" s="29"/>
      <c r="H3244" s="28"/>
      <c r="I3244" s="29"/>
    </row>
    <row r="3245" spans="6:9" x14ac:dyDescent="0.3">
      <c r="F3245" s="29"/>
      <c r="G3245" s="29"/>
      <c r="H3245" s="28"/>
      <c r="I3245" s="29"/>
    </row>
    <row r="3246" spans="6:9" x14ac:dyDescent="0.3">
      <c r="F3246" s="29"/>
      <c r="G3246" s="29"/>
      <c r="H3246" s="28"/>
      <c r="I3246" s="29"/>
    </row>
    <row r="3247" spans="6:9" x14ac:dyDescent="0.3">
      <c r="F3247" s="29"/>
      <c r="G3247" s="29"/>
      <c r="H3247" s="28"/>
      <c r="I3247" s="29"/>
    </row>
    <row r="3248" spans="6:9" x14ac:dyDescent="0.3">
      <c r="F3248" s="29"/>
      <c r="G3248" s="29"/>
      <c r="H3248" s="28"/>
      <c r="I3248" s="29"/>
    </row>
    <row r="3249" spans="6:9" x14ac:dyDescent="0.3">
      <c r="F3249" s="29"/>
      <c r="G3249" s="29"/>
      <c r="H3249" s="28"/>
      <c r="I3249" s="29"/>
    </row>
    <row r="3250" spans="6:9" x14ac:dyDescent="0.3">
      <c r="F3250" s="29"/>
      <c r="G3250" s="29"/>
      <c r="H3250" s="28"/>
      <c r="I3250" s="29"/>
    </row>
    <row r="3251" spans="6:9" x14ac:dyDescent="0.3">
      <c r="F3251" s="29"/>
      <c r="G3251" s="29"/>
      <c r="H3251" s="28"/>
      <c r="I3251" s="29"/>
    </row>
    <row r="3252" spans="6:9" x14ac:dyDescent="0.3">
      <c r="F3252" s="29"/>
      <c r="G3252" s="29"/>
      <c r="H3252" s="28"/>
      <c r="I3252" s="29"/>
    </row>
    <row r="3253" spans="6:9" x14ac:dyDescent="0.3">
      <c r="F3253" s="29"/>
      <c r="G3253" s="29"/>
      <c r="H3253" s="28"/>
      <c r="I3253" s="29"/>
    </row>
    <row r="3254" spans="6:9" x14ac:dyDescent="0.3">
      <c r="F3254" s="29"/>
      <c r="G3254" s="29"/>
      <c r="H3254" s="28"/>
      <c r="I3254" s="29"/>
    </row>
    <row r="3255" spans="6:9" x14ac:dyDescent="0.3">
      <c r="F3255" s="29"/>
      <c r="G3255" s="29"/>
      <c r="H3255" s="28"/>
      <c r="I3255" s="29"/>
    </row>
    <row r="3256" spans="6:9" x14ac:dyDescent="0.3">
      <c r="F3256" s="29"/>
      <c r="G3256" s="29"/>
      <c r="H3256" s="28"/>
      <c r="I3256" s="29"/>
    </row>
    <row r="3257" spans="6:9" x14ac:dyDescent="0.3">
      <c r="F3257" s="29"/>
      <c r="G3257" s="29"/>
      <c r="H3257" s="28"/>
      <c r="I3257" s="29"/>
    </row>
    <row r="3258" spans="6:9" x14ac:dyDescent="0.3">
      <c r="F3258" s="29"/>
      <c r="G3258" s="29"/>
      <c r="H3258" s="28"/>
      <c r="I3258" s="29"/>
    </row>
    <row r="3259" spans="6:9" x14ac:dyDescent="0.3">
      <c r="F3259" s="29"/>
      <c r="G3259" s="29"/>
      <c r="H3259" s="28"/>
      <c r="I3259" s="29"/>
    </row>
    <row r="3260" spans="6:9" x14ac:dyDescent="0.3">
      <c r="F3260" s="29"/>
      <c r="G3260" s="29"/>
      <c r="H3260" s="28"/>
      <c r="I3260" s="29"/>
    </row>
    <row r="3261" spans="6:9" x14ac:dyDescent="0.3">
      <c r="F3261" s="29"/>
      <c r="G3261" s="29"/>
      <c r="H3261" s="28"/>
      <c r="I3261" s="29"/>
    </row>
    <row r="3262" spans="6:9" x14ac:dyDescent="0.3">
      <c r="F3262" s="29"/>
      <c r="G3262" s="29"/>
      <c r="H3262" s="28"/>
      <c r="I3262" s="29"/>
    </row>
    <row r="3263" spans="6:9" x14ac:dyDescent="0.3">
      <c r="F3263" s="29"/>
      <c r="G3263" s="29"/>
      <c r="H3263" s="28"/>
      <c r="I3263" s="29"/>
    </row>
    <row r="3264" spans="6:9" x14ac:dyDescent="0.3">
      <c r="F3264" s="29"/>
      <c r="G3264" s="29"/>
      <c r="H3264" s="28"/>
      <c r="I3264" s="29"/>
    </row>
    <row r="3265" spans="6:9" x14ac:dyDescent="0.3">
      <c r="F3265" s="29"/>
      <c r="G3265" s="29"/>
      <c r="H3265" s="28"/>
      <c r="I3265" s="29"/>
    </row>
    <row r="3266" spans="6:9" x14ac:dyDescent="0.3">
      <c r="F3266" s="29"/>
      <c r="G3266" s="29"/>
      <c r="H3266" s="28"/>
      <c r="I3266" s="29"/>
    </row>
    <row r="3267" spans="6:9" x14ac:dyDescent="0.3">
      <c r="F3267" s="29"/>
      <c r="G3267" s="29"/>
      <c r="H3267" s="28"/>
      <c r="I3267" s="29"/>
    </row>
    <row r="3268" spans="6:9" x14ac:dyDescent="0.3">
      <c r="F3268" s="29"/>
      <c r="G3268" s="29"/>
      <c r="H3268" s="28"/>
      <c r="I3268" s="29"/>
    </row>
    <row r="3269" spans="6:9" x14ac:dyDescent="0.3">
      <c r="F3269" s="29"/>
      <c r="G3269" s="29"/>
      <c r="H3269" s="28"/>
      <c r="I3269" s="29"/>
    </row>
    <row r="3270" spans="6:9" x14ac:dyDescent="0.3">
      <c r="F3270" s="29"/>
      <c r="G3270" s="29"/>
      <c r="H3270" s="28"/>
      <c r="I3270" s="29"/>
    </row>
    <row r="3271" spans="6:9" x14ac:dyDescent="0.3">
      <c r="F3271" s="29"/>
      <c r="G3271" s="29"/>
      <c r="H3271" s="28"/>
      <c r="I3271" s="29"/>
    </row>
    <row r="3272" spans="6:9" x14ac:dyDescent="0.3">
      <c r="F3272" s="29"/>
      <c r="G3272" s="29"/>
      <c r="H3272" s="28"/>
      <c r="I3272" s="29"/>
    </row>
    <row r="3273" spans="6:9" x14ac:dyDescent="0.3">
      <c r="F3273" s="29"/>
      <c r="G3273" s="29"/>
      <c r="H3273" s="28"/>
      <c r="I3273" s="29"/>
    </row>
    <row r="3274" spans="6:9" x14ac:dyDescent="0.3">
      <c r="F3274" s="29"/>
      <c r="G3274" s="29"/>
      <c r="H3274" s="28"/>
      <c r="I3274" s="29"/>
    </row>
    <row r="3275" spans="6:9" x14ac:dyDescent="0.3">
      <c r="F3275" s="29"/>
      <c r="G3275" s="29"/>
      <c r="H3275" s="28"/>
      <c r="I3275" s="29"/>
    </row>
    <row r="3276" spans="6:9" x14ac:dyDescent="0.3">
      <c r="F3276" s="29"/>
      <c r="G3276" s="29"/>
      <c r="H3276" s="28"/>
      <c r="I3276" s="29"/>
    </row>
    <row r="3277" spans="6:9" x14ac:dyDescent="0.3">
      <c r="F3277" s="29"/>
      <c r="G3277" s="29"/>
      <c r="H3277" s="28"/>
      <c r="I3277" s="29"/>
    </row>
    <row r="3278" spans="6:9" x14ac:dyDescent="0.3">
      <c r="F3278" s="29"/>
      <c r="G3278" s="29"/>
      <c r="H3278" s="28"/>
      <c r="I3278" s="29"/>
    </row>
    <row r="3279" spans="6:9" x14ac:dyDescent="0.3">
      <c r="F3279" s="29"/>
      <c r="G3279" s="29"/>
      <c r="H3279" s="28"/>
      <c r="I3279" s="29"/>
    </row>
    <row r="3280" spans="6:9" x14ac:dyDescent="0.3">
      <c r="F3280" s="29"/>
      <c r="G3280" s="29"/>
      <c r="H3280" s="28"/>
      <c r="I3280" s="29"/>
    </row>
    <row r="3281" spans="6:9" x14ac:dyDescent="0.3">
      <c r="F3281" s="29"/>
      <c r="G3281" s="29"/>
      <c r="H3281" s="28"/>
      <c r="I3281" s="29"/>
    </row>
    <row r="3282" spans="6:9" x14ac:dyDescent="0.3">
      <c r="F3282" s="29"/>
      <c r="G3282" s="29"/>
      <c r="H3282" s="28"/>
      <c r="I3282" s="29"/>
    </row>
    <row r="3283" spans="6:9" x14ac:dyDescent="0.3">
      <c r="F3283" s="29"/>
      <c r="G3283" s="29"/>
      <c r="H3283" s="28"/>
      <c r="I3283" s="29"/>
    </row>
    <row r="3284" spans="6:9" x14ac:dyDescent="0.3">
      <c r="F3284" s="29"/>
      <c r="G3284" s="29"/>
      <c r="H3284" s="28"/>
      <c r="I3284" s="29"/>
    </row>
    <row r="3285" spans="6:9" x14ac:dyDescent="0.3">
      <c r="F3285" s="29"/>
      <c r="G3285" s="29"/>
      <c r="H3285" s="28"/>
      <c r="I3285" s="29"/>
    </row>
    <row r="3286" spans="6:9" x14ac:dyDescent="0.3">
      <c r="F3286" s="29"/>
      <c r="G3286" s="29"/>
      <c r="H3286" s="28"/>
      <c r="I3286" s="29"/>
    </row>
    <row r="3287" spans="6:9" x14ac:dyDescent="0.3">
      <c r="F3287" s="29"/>
      <c r="G3287" s="29"/>
      <c r="H3287" s="28"/>
      <c r="I3287" s="29"/>
    </row>
    <row r="3288" spans="6:9" x14ac:dyDescent="0.3">
      <c r="F3288" s="29"/>
      <c r="G3288" s="29"/>
      <c r="H3288" s="28"/>
      <c r="I3288" s="29"/>
    </row>
    <row r="3289" spans="6:9" x14ac:dyDescent="0.3">
      <c r="F3289" s="29"/>
      <c r="G3289" s="29"/>
      <c r="H3289" s="28"/>
      <c r="I3289" s="29"/>
    </row>
    <row r="3290" spans="6:9" x14ac:dyDescent="0.3">
      <c r="F3290" s="29"/>
      <c r="G3290" s="29"/>
      <c r="H3290" s="28"/>
      <c r="I3290" s="29"/>
    </row>
    <row r="3291" spans="6:9" x14ac:dyDescent="0.3">
      <c r="F3291" s="29"/>
      <c r="G3291" s="29"/>
      <c r="H3291" s="28"/>
      <c r="I3291" s="29"/>
    </row>
    <row r="3292" spans="6:9" x14ac:dyDescent="0.3">
      <c r="F3292" s="29"/>
      <c r="G3292" s="29"/>
      <c r="H3292" s="28"/>
      <c r="I3292" s="29"/>
    </row>
    <row r="3293" spans="6:9" x14ac:dyDescent="0.3">
      <c r="F3293" s="29"/>
      <c r="G3293" s="29"/>
      <c r="H3293" s="28"/>
      <c r="I3293" s="29"/>
    </row>
    <row r="3294" spans="6:9" x14ac:dyDescent="0.3">
      <c r="F3294" s="29"/>
      <c r="G3294" s="29"/>
      <c r="H3294" s="28"/>
      <c r="I3294" s="29"/>
    </row>
    <row r="3295" spans="6:9" x14ac:dyDescent="0.3">
      <c r="F3295" s="29"/>
      <c r="G3295" s="29"/>
      <c r="H3295" s="28"/>
      <c r="I3295" s="29"/>
    </row>
    <row r="3296" spans="6:9" x14ac:dyDescent="0.3">
      <c r="F3296" s="29"/>
      <c r="G3296" s="29"/>
      <c r="H3296" s="28"/>
      <c r="I3296" s="29"/>
    </row>
    <row r="3297" spans="6:9" x14ac:dyDescent="0.3">
      <c r="F3297" s="29"/>
      <c r="G3297" s="29"/>
      <c r="H3297" s="28"/>
      <c r="I3297" s="29"/>
    </row>
    <row r="3298" spans="6:9" x14ac:dyDescent="0.3">
      <c r="F3298" s="29"/>
      <c r="G3298" s="29"/>
      <c r="H3298" s="28"/>
      <c r="I3298" s="29"/>
    </row>
    <row r="3299" spans="6:9" x14ac:dyDescent="0.3">
      <c r="F3299" s="29"/>
      <c r="G3299" s="29"/>
      <c r="H3299" s="28"/>
      <c r="I3299" s="29"/>
    </row>
    <row r="3300" spans="6:9" x14ac:dyDescent="0.3">
      <c r="F3300" s="29"/>
      <c r="G3300" s="29"/>
      <c r="H3300" s="28"/>
      <c r="I3300" s="29"/>
    </row>
    <row r="3301" spans="6:9" x14ac:dyDescent="0.3">
      <c r="F3301" s="29"/>
      <c r="G3301" s="29"/>
      <c r="H3301" s="28"/>
      <c r="I3301" s="29"/>
    </row>
    <row r="3302" spans="6:9" x14ac:dyDescent="0.3">
      <c r="F3302" s="29"/>
      <c r="G3302" s="29"/>
      <c r="H3302" s="28"/>
      <c r="I3302" s="29"/>
    </row>
    <row r="3303" spans="6:9" x14ac:dyDescent="0.3">
      <c r="F3303" s="29"/>
      <c r="G3303" s="29"/>
      <c r="H3303" s="28"/>
      <c r="I3303" s="29"/>
    </row>
    <row r="3304" spans="6:9" x14ac:dyDescent="0.3">
      <c r="F3304" s="29"/>
      <c r="G3304" s="29"/>
      <c r="H3304" s="28"/>
      <c r="I3304" s="29"/>
    </row>
    <row r="3305" spans="6:9" x14ac:dyDescent="0.3">
      <c r="F3305" s="29"/>
      <c r="G3305" s="29"/>
      <c r="H3305" s="28"/>
      <c r="I3305" s="29"/>
    </row>
    <row r="3306" spans="6:9" x14ac:dyDescent="0.3">
      <c r="F3306" s="29"/>
      <c r="G3306" s="29"/>
      <c r="H3306" s="28"/>
      <c r="I3306" s="29"/>
    </row>
    <row r="3307" spans="6:9" x14ac:dyDescent="0.3">
      <c r="F3307" s="29"/>
      <c r="G3307" s="29"/>
      <c r="H3307" s="28"/>
      <c r="I3307" s="29"/>
    </row>
    <row r="3308" spans="6:9" x14ac:dyDescent="0.3">
      <c r="F3308" s="29"/>
      <c r="G3308" s="29"/>
      <c r="H3308" s="28"/>
      <c r="I3308" s="29"/>
    </row>
    <row r="3309" spans="6:9" x14ac:dyDescent="0.3">
      <c r="F3309" s="29"/>
      <c r="G3309" s="29"/>
      <c r="H3309" s="28"/>
      <c r="I3309" s="29"/>
    </row>
    <row r="3310" spans="6:9" x14ac:dyDescent="0.3">
      <c r="F3310" s="29"/>
      <c r="G3310" s="29"/>
      <c r="H3310" s="28"/>
      <c r="I3310" s="29"/>
    </row>
    <row r="3311" spans="6:9" x14ac:dyDescent="0.3">
      <c r="F3311" s="29"/>
      <c r="G3311" s="29"/>
      <c r="H3311" s="28"/>
      <c r="I3311" s="29"/>
    </row>
    <row r="3312" spans="6:9" x14ac:dyDescent="0.3">
      <c r="F3312" s="29"/>
      <c r="G3312" s="29"/>
      <c r="H3312" s="28"/>
      <c r="I3312" s="29"/>
    </row>
    <row r="3313" spans="6:9" x14ac:dyDescent="0.3">
      <c r="F3313" s="29"/>
      <c r="G3313" s="29"/>
      <c r="H3313" s="28"/>
      <c r="I3313" s="29"/>
    </row>
    <row r="3314" spans="6:9" x14ac:dyDescent="0.3">
      <c r="F3314" s="29"/>
      <c r="G3314" s="29"/>
      <c r="H3314" s="28"/>
      <c r="I3314" s="29"/>
    </row>
    <row r="3315" spans="6:9" x14ac:dyDescent="0.3">
      <c r="F3315" s="29"/>
      <c r="G3315" s="29"/>
      <c r="H3315" s="28"/>
      <c r="I3315" s="29"/>
    </row>
    <row r="3316" spans="6:9" x14ac:dyDescent="0.3">
      <c r="F3316" s="29"/>
      <c r="G3316" s="29"/>
      <c r="H3316" s="28"/>
      <c r="I3316" s="29"/>
    </row>
    <row r="3317" spans="6:9" x14ac:dyDescent="0.3">
      <c r="F3317" s="29"/>
      <c r="G3317" s="29"/>
      <c r="H3317" s="28"/>
      <c r="I3317" s="29"/>
    </row>
    <row r="3318" spans="6:9" x14ac:dyDescent="0.3">
      <c r="F3318" s="29"/>
      <c r="G3318" s="29"/>
      <c r="H3318" s="28"/>
      <c r="I3318" s="29"/>
    </row>
    <row r="3319" spans="6:9" x14ac:dyDescent="0.3">
      <c r="F3319" s="29"/>
      <c r="G3319" s="29"/>
      <c r="H3319" s="28"/>
      <c r="I3319" s="29"/>
    </row>
    <row r="3320" spans="6:9" x14ac:dyDescent="0.3">
      <c r="F3320" s="29"/>
      <c r="G3320" s="29"/>
      <c r="H3320" s="28"/>
      <c r="I3320" s="29"/>
    </row>
    <row r="3321" spans="6:9" x14ac:dyDescent="0.3">
      <c r="F3321" s="29"/>
      <c r="G3321" s="29"/>
      <c r="H3321" s="28"/>
      <c r="I3321" s="29"/>
    </row>
    <row r="3322" spans="6:9" x14ac:dyDescent="0.3">
      <c r="F3322" s="29"/>
      <c r="G3322" s="29"/>
      <c r="H3322" s="28"/>
      <c r="I3322" s="29"/>
    </row>
    <row r="3323" spans="6:9" x14ac:dyDescent="0.3">
      <c r="F3323" s="29"/>
      <c r="G3323" s="29"/>
      <c r="H3323" s="28"/>
      <c r="I3323" s="29"/>
    </row>
    <row r="3324" spans="6:9" x14ac:dyDescent="0.3">
      <c r="F3324" s="29"/>
      <c r="G3324" s="29"/>
      <c r="H3324" s="28"/>
      <c r="I3324" s="29"/>
    </row>
    <row r="3325" spans="6:9" x14ac:dyDescent="0.3">
      <c r="F3325" s="29"/>
      <c r="G3325" s="29"/>
      <c r="H3325" s="28"/>
      <c r="I3325" s="29"/>
    </row>
    <row r="3326" spans="6:9" x14ac:dyDescent="0.3">
      <c r="F3326" s="29"/>
      <c r="G3326" s="29"/>
      <c r="H3326" s="28"/>
      <c r="I3326" s="29"/>
    </row>
    <row r="3327" spans="6:9" x14ac:dyDescent="0.3">
      <c r="F3327" s="29"/>
      <c r="G3327" s="29"/>
      <c r="H3327" s="28"/>
      <c r="I3327" s="29"/>
    </row>
    <row r="3328" spans="6:9" x14ac:dyDescent="0.3">
      <c r="F3328" s="29"/>
      <c r="G3328" s="29"/>
      <c r="H3328" s="28"/>
      <c r="I3328" s="29"/>
    </row>
    <row r="3329" spans="6:9" x14ac:dyDescent="0.3">
      <c r="F3329" s="29"/>
      <c r="G3329" s="29"/>
      <c r="H3329" s="28"/>
      <c r="I3329" s="29"/>
    </row>
    <row r="3330" spans="6:9" x14ac:dyDescent="0.3">
      <c r="F3330" s="29"/>
      <c r="G3330" s="29"/>
      <c r="H3330" s="28"/>
      <c r="I3330" s="29"/>
    </row>
    <row r="3331" spans="6:9" x14ac:dyDescent="0.3">
      <c r="F3331" s="29"/>
      <c r="G3331" s="29"/>
      <c r="H3331" s="28"/>
      <c r="I3331" s="29"/>
    </row>
    <row r="3332" spans="6:9" x14ac:dyDescent="0.3">
      <c r="F3332" s="29"/>
      <c r="G3332" s="29"/>
      <c r="H3332" s="28"/>
      <c r="I3332" s="29"/>
    </row>
    <row r="3333" spans="6:9" x14ac:dyDescent="0.3">
      <c r="F3333" s="29"/>
      <c r="G3333" s="29"/>
      <c r="H3333" s="28"/>
      <c r="I3333" s="29"/>
    </row>
    <row r="3334" spans="6:9" x14ac:dyDescent="0.3">
      <c r="F3334" s="29"/>
      <c r="G3334" s="29"/>
      <c r="H3334" s="28"/>
      <c r="I3334" s="29"/>
    </row>
    <row r="3335" spans="6:9" x14ac:dyDescent="0.3">
      <c r="F3335" s="29"/>
      <c r="G3335" s="29"/>
      <c r="H3335" s="28"/>
      <c r="I3335" s="29"/>
    </row>
    <row r="3336" spans="6:9" x14ac:dyDescent="0.3">
      <c r="F3336" s="29"/>
      <c r="G3336" s="29"/>
      <c r="H3336" s="28"/>
      <c r="I3336" s="29"/>
    </row>
    <row r="3337" spans="6:9" x14ac:dyDescent="0.3">
      <c r="F3337" s="29"/>
      <c r="G3337" s="29"/>
      <c r="H3337" s="28"/>
      <c r="I3337" s="29"/>
    </row>
    <row r="3338" spans="6:9" x14ac:dyDescent="0.3">
      <c r="F3338" s="29"/>
      <c r="G3338" s="29"/>
      <c r="H3338" s="28"/>
      <c r="I3338" s="29"/>
    </row>
    <row r="3339" spans="6:9" x14ac:dyDescent="0.3">
      <c r="F3339" s="29"/>
      <c r="G3339" s="29"/>
      <c r="H3339" s="28"/>
      <c r="I3339" s="29"/>
    </row>
    <row r="3340" spans="6:9" x14ac:dyDescent="0.3">
      <c r="F3340" s="29"/>
      <c r="G3340" s="29"/>
      <c r="H3340" s="28"/>
      <c r="I3340" s="29"/>
    </row>
    <row r="3341" spans="6:9" x14ac:dyDescent="0.3">
      <c r="F3341" s="29"/>
      <c r="G3341" s="29"/>
      <c r="H3341" s="28"/>
      <c r="I3341" s="29"/>
    </row>
    <row r="3342" spans="6:9" x14ac:dyDescent="0.3">
      <c r="F3342" s="29"/>
      <c r="G3342" s="29"/>
      <c r="H3342" s="28"/>
      <c r="I3342" s="29"/>
    </row>
    <row r="3343" spans="6:9" x14ac:dyDescent="0.3">
      <c r="F3343" s="29"/>
      <c r="G3343" s="29"/>
      <c r="H3343" s="28"/>
      <c r="I3343" s="29"/>
    </row>
    <row r="3344" spans="6:9" x14ac:dyDescent="0.3">
      <c r="F3344" s="29"/>
      <c r="G3344" s="29"/>
      <c r="H3344" s="28"/>
      <c r="I3344" s="29"/>
    </row>
    <row r="3345" spans="6:9" x14ac:dyDescent="0.3">
      <c r="F3345" s="29"/>
      <c r="G3345" s="29"/>
      <c r="H3345" s="28"/>
      <c r="I3345" s="29"/>
    </row>
    <row r="3346" spans="6:9" x14ac:dyDescent="0.3">
      <c r="F3346" s="29"/>
      <c r="G3346" s="29"/>
      <c r="H3346" s="28"/>
      <c r="I3346" s="29"/>
    </row>
    <row r="3347" spans="6:9" x14ac:dyDescent="0.3">
      <c r="F3347" s="29"/>
      <c r="G3347" s="29"/>
      <c r="H3347" s="28"/>
      <c r="I3347" s="29"/>
    </row>
    <row r="3348" spans="6:9" x14ac:dyDescent="0.3">
      <c r="F3348" s="29"/>
      <c r="G3348" s="29"/>
      <c r="H3348" s="28"/>
      <c r="I3348" s="29"/>
    </row>
    <row r="3349" spans="6:9" x14ac:dyDescent="0.3">
      <c r="F3349" s="29"/>
      <c r="G3349" s="29"/>
      <c r="H3349" s="28"/>
      <c r="I3349" s="29"/>
    </row>
    <row r="3350" spans="6:9" x14ac:dyDescent="0.3">
      <c r="F3350" s="29"/>
      <c r="G3350" s="29"/>
      <c r="H3350" s="28"/>
      <c r="I3350" s="29"/>
    </row>
    <row r="3351" spans="6:9" x14ac:dyDescent="0.3">
      <c r="F3351" s="29"/>
      <c r="G3351" s="29"/>
      <c r="H3351" s="28"/>
      <c r="I3351" s="29"/>
    </row>
    <row r="3352" spans="6:9" x14ac:dyDescent="0.3">
      <c r="F3352" s="29"/>
      <c r="G3352" s="29"/>
      <c r="H3352" s="28"/>
      <c r="I3352" s="29"/>
    </row>
    <row r="3353" spans="6:9" x14ac:dyDescent="0.3">
      <c r="F3353" s="29"/>
      <c r="G3353" s="29"/>
      <c r="H3353" s="28"/>
      <c r="I3353" s="29"/>
    </row>
    <row r="3354" spans="6:9" x14ac:dyDescent="0.3">
      <c r="F3354" s="29"/>
      <c r="G3354" s="29"/>
      <c r="H3354" s="28"/>
      <c r="I3354" s="29"/>
    </row>
    <row r="3355" spans="6:9" x14ac:dyDescent="0.3">
      <c r="F3355" s="29"/>
      <c r="G3355" s="29"/>
      <c r="H3355" s="28"/>
      <c r="I3355" s="29"/>
    </row>
    <row r="3356" spans="6:9" x14ac:dyDescent="0.3">
      <c r="F3356" s="29"/>
      <c r="G3356" s="29"/>
      <c r="H3356" s="28"/>
      <c r="I3356" s="29"/>
    </row>
    <row r="3357" spans="6:9" x14ac:dyDescent="0.3">
      <c r="F3357" s="29"/>
      <c r="G3357" s="29"/>
      <c r="H3357" s="28"/>
      <c r="I3357" s="29"/>
    </row>
    <row r="3358" spans="6:9" x14ac:dyDescent="0.3">
      <c r="F3358" s="29"/>
      <c r="G3358" s="29"/>
      <c r="H3358" s="28"/>
      <c r="I3358" s="29"/>
    </row>
    <row r="3359" spans="6:9" x14ac:dyDescent="0.3">
      <c r="F3359" s="29"/>
      <c r="G3359" s="29"/>
      <c r="H3359" s="28"/>
      <c r="I3359" s="29"/>
    </row>
    <row r="3360" spans="6:9" x14ac:dyDescent="0.3">
      <c r="F3360" s="29"/>
      <c r="G3360" s="29"/>
      <c r="H3360" s="28"/>
      <c r="I3360" s="29"/>
    </row>
    <row r="3361" spans="6:9" x14ac:dyDescent="0.3">
      <c r="F3361" s="29"/>
      <c r="G3361" s="29"/>
      <c r="H3361" s="28"/>
      <c r="I3361" s="29"/>
    </row>
    <row r="3362" spans="6:9" x14ac:dyDescent="0.3">
      <c r="F3362" s="29"/>
      <c r="G3362" s="29"/>
      <c r="H3362" s="28"/>
      <c r="I3362" s="29"/>
    </row>
    <row r="3363" spans="6:9" x14ac:dyDescent="0.3">
      <c r="F3363" s="29"/>
      <c r="G3363" s="29"/>
      <c r="H3363" s="28"/>
      <c r="I3363" s="29"/>
    </row>
    <row r="3364" spans="6:9" x14ac:dyDescent="0.3">
      <c r="F3364" s="29"/>
      <c r="G3364" s="29"/>
      <c r="H3364" s="28"/>
      <c r="I3364" s="29"/>
    </row>
    <row r="3365" spans="6:9" x14ac:dyDescent="0.3">
      <c r="F3365" s="29"/>
      <c r="G3365" s="29"/>
      <c r="H3365" s="28"/>
      <c r="I3365" s="29"/>
    </row>
    <row r="3366" spans="6:9" x14ac:dyDescent="0.3">
      <c r="F3366" s="29"/>
      <c r="G3366" s="29"/>
      <c r="H3366" s="28"/>
      <c r="I3366" s="29"/>
    </row>
    <row r="3367" spans="6:9" x14ac:dyDescent="0.3">
      <c r="F3367" s="29"/>
      <c r="G3367" s="29"/>
      <c r="H3367" s="28"/>
      <c r="I3367" s="29"/>
    </row>
    <row r="3368" spans="6:9" x14ac:dyDescent="0.3">
      <c r="F3368" s="29"/>
      <c r="G3368" s="29"/>
      <c r="H3368" s="28"/>
      <c r="I3368" s="29"/>
    </row>
    <row r="3369" spans="6:9" x14ac:dyDescent="0.3">
      <c r="F3369" s="29"/>
      <c r="G3369" s="29"/>
      <c r="H3369" s="28"/>
      <c r="I3369" s="29"/>
    </row>
    <row r="3370" spans="6:9" x14ac:dyDescent="0.3">
      <c r="F3370" s="29"/>
      <c r="G3370" s="29"/>
      <c r="H3370" s="28"/>
      <c r="I3370" s="29"/>
    </row>
    <row r="3371" spans="6:9" x14ac:dyDescent="0.3">
      <c r="F3371" s="29"/>
      <c r="G3371" s="29"/>
      <c r="H3371" s="28"/>
      <c r="I3371" s="29"/>
    </row>
    <row r="3372" spans="6:9" x14ac:dyDescent="0.3">
      <c r="F3372" s="29"/>
      <c r="G3372" s="29"/>
      <c r="H3372" s="28"/>
      <c r="I3372" s="29"/>
    </row>
    <row r="3373" spans="6:9" x14ac:dyDescent="0.3">
      <c r="F3373" s="29"/>
      <c r="G3373" s="29"/>
      <c r="H3373" s="28"/>
      <c r="I3373" s="29"/>
    </row>
    <row r="3374" spans="6:9" x14ac:dyDescent="0.3">
      <c r="F3374" s="29"/>
      <c r="G3374" s="29"/>
      <c r="H3374" s="28"/>
      <c r="I3374" s="29"/>
    </row>
    <row r="3375" spans="6:9" x14ac:dyDescent="0.3">
      <c r="F3375" s="29"/>
      <c r="G3375" s="29"/>
      <c r="H3375" s="28"/>
      <c r="I3375" s="29"/>
    </row>
    <row r="3376" spans="6:9" x14ac:dyDescent="0.3">
      <c r="F3376" s="29"/>
      <c r="G3376" s="29"/>
      <c r="H3376" s="28"/>
      <c r="I3376" s="29"/>
    </row>
    <row r="3377" spans="6:9" x14ac:dyDescent="0.3">
      <c r="F3377" s="29"/>
      <c r="G3377" s="29"/>
      <c r="H3377" s="28"/>
      <c r="I3377" s="29"/>
    </row>
    <row r="3378" spans="6:9" x14ac:dyDescent="0.3">
      <c r="F3378" s="29"/>
      <c r="G3378" s="29"/>
      <c r="H3378" s="28"/>
      <c r="I3378" s="29"/>
    </row>
    <row r="3379" spans="6:9" x14ac:dyDescent="0.3">
      <c r="F3379" s="29"/>
      <c r="G3379" s="29"/>
      <c r="H3379" s="28"/>
      <c r="I3379" s="29"/>
    </row>
    <row r="3380" spans="6:9" x14ac:dyDescent="0.3">
      <c r="F3380" s="29"/>
      <c r="G3380" s="29"/>
      <c r="H3380" s="28"/>
      <c r="I3380" s="29"/>
    </row>
    <row r="3381" spans="6:9" x14ac:dyDescent="0.3">
      <c r="F3381" s="29"/>
      <c r="G3381" s="29"/>
      <c r="H3381" s="28"/>
      <c r="I3381" s="29"/>
    </row>
    <row r="3382" spans="6:9" x14ac:dyDescent="0.3">
      <c r="F3382" s="29"/>
      <c r="G3382" s="29"/>
      <c r="H3382" s="28"/>
      <c r="I3382" s="29"/>
    </row>
    <row r="3383" spans="6:9" x14ac:dyDescent="0.3">
      <c r="F3383" s="29"/>
      <c r="G3383" s="29"/>
      <c r="H3383" s="28"/>
      <c r="I3383" s="29"/>
    </row>
    <row r="3384" spans="6:9" x14ac:dyDescent="0.3">
      <c r="F3384" s="29"/>
      <c r="G3384" s="29"/>
      <c r="H3384" s="28"/>
      <c r="I3384" s="29"/>
    </row>
    <row r="3385" spans="6:9" x14ac:dyDescent="0.3">
      <c r="F3385" s="29"/>
      <c r="G3385" s="29"/>
      <c r="H3385" s="28"/>
      <c r="I3385" s="29"/>
    </row>
    <row r="3386" spans="6:9" x14ac:dyDescent="0.3">
      <c r="F3386" s="29"/>
      <c r="G3386" s="29"/>
      <c r="H3386" s="28"/>
      <c r="I3386" s="29"/>
    </row>
    <row r="3387" spans="6:9" x14ac:dyDescent="0.3">
      <c r="F3387" s="29"/>
      <c r="G3387" s="29"/>
      <c r="H3387" s="28"/>
      <c r="I3387" s="29"/>
    </row>
    <row r="3388" spans="6:9" x14ac:dyDescent="0.3">
      <c r="F3388" s="29"/>
      <c r="G3388" s="29"/>
      <c r="H3388" s="28"/>
      <c r="I3388" s="29"/>
    </row>
    <row r="3389" spans="6:9" x14ac:dyDescent="0.3">
      <c r="F3389" s="29"/>
      <c r="G3389" s="29"/>
      <c r="H3389" s="28"/>
      <c r="I3389" s="29"/>
    </row>
    <row r="3390" spans="6:9" x14ac:dyDescent="0.3">
      <c r="F3390" s="29"/>
      <c r="G3390" s="29"/>
      <c r="H3390" s="28"/>
      <c r="I3390" s="29"/>
    </row>
    <row r="3391" spans="6:9" x14ac:dyDescent="0.3">
      <c r="F3391" s="29"/>
      <c r="G3391" s="29"/>
      <c r="H3391" s="28"/>
      <c r="I3391" s="29"/>
    </row>
    <row r="3392" spans="6:9" x14ac:dyDescent="0.3">
      <c r="F3392" s="29"/>
      <c r="G3392" s="29"/>
      <c r="H3392" s="28"/>
      <c r="I3392" s="29"/>
    </row>
    <row r="3393" spans="6:9" x14ac:dyDescent="0.3">
      <c r="F3393" s="29"/>
      <c r="G3393" s="29"/>
      <c r="H3393" s="28"/>
      <c r="I3393" s="29"/>
    </row>
    <row r="3394" spans="6:9" x14ac:dyDescent="0.3">
      <c r="F3394" s="29"/>
      <c r="G3394" s="29"/>
      <c r="H3394" s="28"/>
      <c r="I3394" s="29"/>
    </row>
    <row r="3395" spans="6:9" x14ac:dyDescent="0.3">
      <c r="F3395" s="29"/>
      <c r="G3395" s="29"/>
      <c r="H3395" s="28"/>
      <c r="I3395" s="29"/>
    </row>
    <row r="3396" spans="6:9" x14ac:dyDescent="0.3">
      <c r="F3396" s="29"/>
      <c r="G3396" s="29"/>
      <c r="H3396" s="28"/>
      <c r="I3396" s="29"/>
    </row>
    <row r="3397" spans="6:9" x14ac:dyDescent="0.3">
      <c r="F3397" s="29"/>
      <c r="G3397" s="29"/>
      <c r="H3397" s="28"/>
      <c r="I3397" s="29"/>
    </row>
    <row r="3398" spans="6:9" x14ac:dyDescent="0.3">
      <c r="F3398" s="29"/>
      <c r="G3398" s="29"/>
      <c r="H3398" s="28"/>
      <c r="I3398" s="29"/>
    </row>
    <row r="3399" spans="6:9" x14ac:dyDescent="0.3">
      <c r="F3399" s="29"/>
      <c r="G3399" s="29"/>
      <c r="H3399" s="28"/>
      <c r="I3399" s="29"/>
    </row>
    <row r="3400" spans="6:9" x14ac:dyDescent="0.3">
      <c r="F3400" s="29"/>
      <c r="G3400" s="29"/>
      <c r="H3400" s="28"/>
      <c r="I3400" s="29"/>
    </row>
    <row r="3401" spans="6:9" x14ac:dyDescent="0.3">
      <c r="F3401" s="29"/>
      <c r="G3401" s="29"/>
      <c r="H3401" s="28"/>
      <c r="I3401" s="29"/>
    </row>
    <row r="3402" spans="6:9" x14ac:dyDescent="0.3">
      <c r="F3402" s="29"/>
      <c r="G3402" s="29"/>
      <c r="H3402" s="28"/>
      <c r="I3402" s="29"/>
    </row>
    <row r="3403" spans="6:9" x14ac:dyDescent="0.3">
      <c r="F3403" s="29"/>
      <c r="G3403" s="29"/>
      <c r="H3403" s="28"/>
      <c r="I3403" s="29"/>
    </row>
    <row r="3404" spans="6:9" x14ac:dyDescent="0.3">
      <c r="F3404" s="29"/>
      <c r="G3404" s="29"/>
      <c r="H3404" s="28"/>
      <c r="I3404" s="29"/>
    </row>
    <row r="3405" spans="6:9" x14ac:dyDescent="0.3">
      <c r="F3405" s="29"/>
      <c r="G3405" s="29"/>
      <c r="H3405" s="28"/>
      <c r="I3405" s="29"/>
    </row>
    <row r="3406" spans="6:9" x14ac:dyDescent="0.3">
      <c r="F3406" s="29"/>
      <c r="G3406" s="29"/>
      <c r="H3406" s="28"/>
      <c r="I3406" s="29"/>
    </row>
    <row r="3407" spans="6:9" x14ac:dyDescent="0.3">
      <c r="F3407" s="29"/>
      <c r="G3407" s="29"/>
      <c r="H3407" s="28"/>
      <c r="I3407" s="29"/>
    </row>
    <row r="3408" spans="6:9" x14ac:dyDescent="0.3">
      <c r="F3408" s="29"/>
      <c r="G3408" s="29"/>
      <c r="H3408" s="28"/>
      <c r="I3408" s="29"/>
    </row>
    <row r="3409" spans="6:9" x14ac:dyDescent="0.3">
      <c r="F3409" s="29"/>
      <c r="G3409" s="29"/>
      <c r="H3409" s="28"/>
      <c r="I3409" s="29"/>
    </row>
    <row r="3410" spans="6:9" x14ac:dyDescent="0.3">
      <c r="F3410" s="29"/>
      <c r="G3410" s="29"/>
      <c r="H3410" s="28"/>
      <c r="I3410" s="29"/>
    </row>
    <row r="3411" spans="6:9" x14ac:dyDescent="0.3">
      <c r="F3411" s="29"/>
      <c r="G3411" s="29"/>
      <c r="H3411" s="28"/>
      <c r="I3411" s="29"/>
    </row>
    <row r="3412" spans="6:9" x14ac:dyDescent="0.3">
      <c r="F3412" s="29"/>
      <c r="G3412" s="29"/>
      <c r="H3412" s="28"/>
      <c r="I3412" s="29"/>
    </row>
    <row r="3413" spans="6:9" x14ac:dyDescent="0.3">
      <c r="F3413" s="29"/>
      <c r="G3413" s="29"/>
      <c r="H3413" s="28"/>
      <c r="I3413" s="29"/>
    </row>
    <row r="3414" spans="6:9" x14ac:dyDescent="0.3">
      <c r="F3414" s="29"/>
      <c r="G3414" s="29"/>
      <c r="H3414" s="28"/>
      <c r="I3414" s="29"/>
    </row>
    <row r="3415" spans="6:9" x14ac:dyDescent="0.3">
      <c r="F3415" s="29"/>
      <c r="G3415" s="29"/>
      <c r="H3415" s="28"/>
      <c r="I3415" s="29"/>
    </row>
    <row r="3416" spans="6:9" x14ac:dyDescent="0.3">
      <c r="F3416" s="29"/>
      <c r="G3416" s="29"/>
      <c r="H3416" s="28"/>
      <c r="I3416" s="29"/>
    </row>
    <row r="3417" spans="6:9" x14ac:dyDescent="0.3">
      <c r="F3417" s="29"/>
      <c r="G3417" s="29"/>
      <c r="H3417" s="28"/>
      <c r="I3417" s="29"/>
    </row>
    <row r="3418" spans="6:9" x14ac:dyDescent="0.3">
      <c r="F3418" s="29"/>
      <c r="G3418" s="29"/>
      <c r="H3418" s="28"/>
      <c r="I3418" s="29"/>
    </row>
    <row r="3419" spans="6:9" x14ac:dyDescent="0.3">
      <c r="F3419" s="29"/>
      <c r="G3419" s="29"/>
      <c r="H3419" s="28"/>
      <c r="I3419" s="29"/>
    </row>
    <row r="3420" spans="6:9" x14ac:dyDescent="0.3">
      <c r="F3420" s="29"/>
      <c r="G3420" s="29"/>
      <c r="H3420" s="28"/>
      <c r="I3420" s="29"/>
    </row>
    <row r="3421" spans="6:9" x14ac:dyDescent="0.3">
      <c r="F3421" s="29"/>
      <c r="G3421" s="29"/>
      <c r="H3421" s="28"/>
      <c r="I3421" s="29"/>
    </row>
    <row r="3422" spans="6:9" x14ac:dyDescent="0.3">
      <c r="F3422" s="29"/>
      <c r="G3422" s="29"/>
      <c r="H3422" s="28"/>
      <c r="I3422" s="29"/>
    </row>
    <row r="3423" spans="6:9" x14ac:dyDescent="0.3">
      <c r="F3423" s="29"/>
      <c r="G3423" s="29"/>
      <c r="H3423" s="28"/>
      <c r="I3423" s="29"/>
    </row>
    <row r="3424" spans="6:9" x14ac:dyDescent="0.3">
      <c r="F3424" s="29"/>
      <c r="G3424" s="29"/>
      <c r="H3424" s="28"/>
      <c r="I3424" s="29"/>
    </row>
    <row r="3425" spans="6:9" x14ac:dyDescent="0.3">
      <c r="F3425" s="29"/>
      <c r="G3425" s="29"/>
      <c r="H3425" s="28"/>
      <c r="I3425" s="29"/>
    </row>
    <row r="3426" spans="6:9" x14ac:dyDescent="0.3">
      <c r="F3426" s="29"/>
      <c r="G3426" s="29"/>
      <c r="H3426" s="28"/>
      <c r="I3426" s="29"/>
    </row>
    <row r="3427" spans="6:9" x14ac:dyDescent="0.3">
      <c r="F3427" s="29"/>
      <c r="G3427" s="29"/>
      <c r="H3427" s="28"/>
      <c r="I3427" s="29"/>
    </row>
    <row r="3428" spans="6:9" x14ac:dyDescent="0.3">
      <c r="F3428" s="29"/>
      <c r="G3428" s="29"/>
      <c r="H3428" s="28"/>
      <c r="I3428" s="29"/>
    </row>
    <row r="3429" spans="6:9" x14ac:dyDescent="0.3">
      <c r="F3429" s="29"/>
      <c r="G3429" s="29"/>
      <c r="H3429" s="28"/>
      <c r="I3429" s="29"/>
    </row>
    <row r="3430" spans="6:9" x14ac:dyDescent="0.3">
      <c r="F3430" s="29"/>
      <c r="G3430" s="29"/>
      <c r="H3430" s="28"/>
      <c r="I3430" s="29"/>
    </row>
    <row r="3431" spans="6:9" x14ac:dyDescent="0.3">
      <c r="F3431" s="29"/>
      <c r="G3431" s="29"/>
      <c r="H3431" s="28"/>
      <c r="I3431" s="29"/>
    </row>
    <row r="3432" spans="6:9" x14ac:dyDescent="0.3">
      <c r="F3432" s="29"/>
      <c r="G3432" s="29"/>
      <c r="H3432" s="28"/>
      <c r="I3432" s="29"/>
    </row>
    <row r="3433" spans="6:9" x14ac:dyDescent="0.3">
      <c r="F3433" s="29"/>
      <c r="G3433" s="29"/>
      <c r="H3433" s="28"/>
      <c r="I3433" s="29"/>
    </row>
    <row r="3434" spans="6:9" x14ac:dyDescent="0.3">
      <c r="F3434" s="29"/>
      <c r="G3434" s="29"/>
      <c r="H3434" s="28"/>
      <c r="I3434" s="29"/>
    </row>
    <row r="3435" spans="6:9" x14ac:dyDescent="0.3">
      <c r="F3435" s="29"/>
      <c r="G3435" s="29"/>
      <c r="H3435" s="28"/>
      <c r="I3435" s="29"/>
    </row>
    <row r="3436" spans="6:9" x14ac:dyDescent="0.3">
      <c r="F3436" s="29"/>
      <c r="G3436" s="29"/>
      <c r="H3436" s="28"/>
      <c r="I3436" s="29"/>
    </row>
    <row r="3437" spans="6:9" x14ac:dyDescent="0.3">
      <c r="F3437" s="29"/>
      <c r="G3437" s="29"/>
      <c r="H3437" s="28"/>
      <c r="I3437" s="29"/>
    </row>
    <row r="3438" spans="6:9" x14ac:dyDescent="0.3">
      <c r="F3438" s="29"/>
      <c r="G3438" s="29"/>
      <c r="H3438" s="28"/>
      <c r="I3438" s="29"/>
    </row>
    <row r="3439" spans="6:9" x14ac:dyDescent="0.3">
      <c r="F3439" s="29"/>
      <c r="G3439" s="29"/>
      <c r="H3439" s="28"/>
      <c r="I3439" s="29"/>
    </row>
    <row r="3440" spans="6:9" x14ac:dyDescent="0.3">
      <c r="F3440" s="29"/>
      <c r="G3440" s="29"/>
      <c r="H3440" s="28"/>
      <c r="I3440" s="29"/>
    </row>
    <row r="3441" spans="6:9" x14ac:dyDescent="0.3">
      <c r="F3441" s="29"/>
      <c r="G3441" s="29"/>
      <c r="H3441" s="28"/>
      <c r="I3441" s="29"/>
    </row>
    <row r="3442" spans="6:9" x14ac:dyDescent="0.3">
      <c r="F3442" s="29"/>
      <c r="G3442" s="29"/>
      <c r="H3442" s="28"/>
      <c r="I3442" s="29"/>
    </row>
    <row r="3443" spans="6:9" x14ac:dyDescent="0.3">
      <c r="F3443" s="29"/>
      <c r="G3443" s="29"/>
      <c r="H3443" s="28"/>
      <c r="I3443" s="29"/>
    </row>
    <row r="3444" spans="6:9" x14ac:dyDescent="0.3">
      <c r="F3444" s="29"/>
      <c r="G3444" s="29"/>
      <c r="H3444" s="28"/>
      <c r="I3444" s="29"/>
    </row>
    <row r="3445" spans="6:9" x14ac:dyDescent="0.3">
      <c r="F3445" s="29"/>
      <c r="G3445" s="29"/>
      <c r="H3445" s="28"/>
      <c r="I3445" s="29"/>
    </row>
    <row r="3446" spans="6:9" x14ac:dyDescent="0.3">
      <c r="F3446" s="29"/>
      <c r="G3446" s="29"/>
      <c r="H3446" s="28"/>
      <c r="I3446" s="29"/>
    </row>
    <row r="3447" spans="6:9" x14ac:dyDescent="0.3">
      <c r="F3447" s="29"/>
      <c r="G3447" s="29"/>
      <c r="H3447" s="28"/>
      <c r="I3447" s="29"/>
    </row>
    <row r="3448" spans="6:9" x14ac:dyDescent="0.3">
      <c r="F3448" s="29"/>
      <c r="G3448" s="29"/>
      <c r="H3448" s="28"/>
      <c r="I3448" s="29"/>
    </row>
    <row r="3449" spans="6:9" x14ac:dyDescent="0.3">
      <c r="F3449" s="29"/>
      <c r="G3449" s="29"/>
      <c r="H3449" s="28"/>
      <c r="I3449" s="29"/>
    </row>
    <row r="3450" spans="6:9" x14ac:dyDescent="0.3">
      <c r="F3450" s="29"/>
      <c r="G3450" s="29"/>
      <c r="H3450" s="28"/>
      <c r="I3450" s="29"/>
    </row>
    <row r="3451" spans="6:9" x14ac:dyDescent="0.3">
      <c r="F3451" s="29"/>
      <c r="G3451" s="29"/>
      <c r="H3451" s="28"/>
      <c r="I3451" s="29"/>
    </row>
    <row r="3452" spans="6:9" x14ac:dyDescent="0.3">
      <c r="F3452" s="29"/>
      <c r="G3452" s="29"/>
      <c r="H3452" s="28"/>
      <c r="I3452" s="29"/>
    </row>
    <row r="3453" spans="6:9" x14ac:dyDescent="0.3">
      <c r="F3453" s="29"/>
      <c r="G3453" s="29"/>
      <c r="H3453" s="28"/>
      <c r="I3453" s="29"/>
    </row>
    <row r="3454" spans="6:9" x14ac:dyDescent="0.3">
      <c r="F3454" s="29"/>
      <c r="G3454" s="29"/>
      <c r="H3454" s="28"/>
      <c r="I3454" s="29"/>
    </row>
    <row r="3455" spans="6:9" x14ac:dyDescent="0.3">
      <c r="F3455" s="29"/>
      <c r="G3455" s="29"/>
      <c r="H3455" s="28"/>
      <c r="I3455" s="29"/>
    </row>
    <row r="3456" spans="6:9" x14ac:dyDescent="0.3">
      <c r="F3456" s="29"/>
      <c r="G3456" s="29"/>
      <c r="H3456" s="28"/>
      <c r="I3456" s="29"/>
    </row>
    <row r="3457" spans="6:9" x14ac:dyDescent="0.3">
      <c r="F3457" s="29"/>
      <c r="G3457" s="29"/>
      <c r="H3457" s="28"/>
      <c r="I3457" s="29"/>
    </row>
    <row r="3458" spans="6:9" x14ac:dyDescent="0.3">
      <c r="F3458" s="29"/>
      <c r="G3458" s="29"/>
      <c r="H3458" s="28"/>
      <c r="I3458" s="29"/>
    </row>
    <row r="3459" spans="6:9" x14ac:dyDescent="0.3">
      <c r="F3459" s="29"/>
      <c r="G3459" s="29"/>
      <c r="H3459" s="28"/>
      <c r="I3459" s="29"/>
    </row>
    <row r="3460" spans="6:9" x14ac:dyDescent="0.3">
      <c r="F3460" s="29"/>
      <c r="G3460" s="29"/>
      <c r="H3460" s="28"/>
      <c r="I3460" s="29"/>
    </row>
    <row r="3461" spans="6:9" x14ac:dyDescent="0.3">
      <c r="F3461" s="29"/>
      <c r="G3461" s="29"/>
      <c r="H3461" s="28"/>
      <c r="I3461" s="29"/>
    </row>
    <row r="3462" spans="6:9" x14ac:dyDescent="0.3">
      <c r="F3462" s="29"/>
      <c r="G3462" s="29"/>
      <c r="H3462" s="28"/>
      <c r="I3462" s="29"/>
    </row>
    <row r="3463" spans="6:9" x14ac:dyDescent="0.3">
      <c r="F3463" s="29"/>
      <c r="G3463" s="29"/>
      <c r="H3463" s="28"/>
      <c r="I3463" s="29"/>
    </row>
    <row r="3464" spans="6:9" x14ac:dyDescent="0.3">
      <c r="F3464" s="29"/>
      <c r="G3464" s="29"/>
      <c r="H3464" s="28"/>
      <c r="I3464" s="29"/>
    </row>
    <row r="3465" spans="6:9" x14ac:dyDescent="0.3">
      <c r="F3465" s="29"/>
      <c r="G3465" s="29"/>
      <c r="H3465" s="28"/>
      <c r="I3465" s="29"/>
    </row>
    <row r="3466" spans="6:9" x14ac:dyDescent="0.3">
      <c r="F3466" s="29"/>
      <c r="G3466" s="29"/>
      <c r="H3466" s="28"/>
      <c r="I3466" s="29"/>
    </row>
    <row r="3467" spans="6:9" x14ac:dyDescent="0.3">
      <c r="F3467" s="29"/>
      <c r="G3467" s="29"/>
      <c r="H3467" s="28"/>
      <c r="I3467" s="29"/>
    </row>
    <row r="3468" spans="6:9" x14ac:dyDescent="0.3">
      <c r="F3468" s="29"/>
      <c r="G3468" s="29"/>
      <c r="H3468" s="28"/>
      <c r="I3468" s="29"/>
    </row>
    <row r="3469" spans="6:9" x14ac:dyDescent="0.3">
      <c r="F3469" s="29"/>
      <c r="G3469" s="29"/>
      <c r="H3469" s="28"/>
      <c r="I3469" s="29"/>
    </row>
    <row r="3470" spans="6:9" x14ac:dyDescent="0.3">
      <c r="F3470" s="29"/>
      <c r="G3470" s="29"/>
      <c r="H3470" s="28"/>
      <c r="I3470" s="29"/>
    </row>
    <row r="3471" spans="6:9" x14ac:dyDescent="0.3">
      <c r="F3471" s="29"/>
      <c r="G3471" s="29"/>
      <c r="H3471" s="28"/>
      <c r="I3471" s="29"/>
    </row>
    <row r="3472" spans="6:9" x14ac:dyDescent="0.3">
      <c r="F3472" s="29"/>
      <c r="G3472" s="29"/>
      <c r="H3472" s="28"/>
      <c r="I3472" s="29"/>
    </row>
    <row r="3473" spans="6:9" x14ac:dyDescent="0.3">
      <c r="F3473" s="29"/>
      <c r="G3473" s="29"/>
      <c r="H3473" s="28"/>
      <c r="I3473" s="29"/>
    </row>
    <row r="3474" spans="6:9" x14ac:dyDescent="0.3">
      <c r="F3474" s="29"/>
      <c r="G3474" s="29"/>
      <c r="H3474" s="28"/>
      <c r="I3474" s="29"/>
    </row>
    <row r="3475" spans="6:9" x14ac:dyDescent="0.3">
      <c r="F3475" s="29"/>
      <c r="G3475" s="29"/>
      <c r="H3475" s="28"/>
      <c r="I3475" s="29"/>
    </row>
    <row r="3476" spans="6:9" x14ac:dyDescent="0.3">
      <c r="F3476" s="29"/>
      <c r="G3476" s="29"/>
      <c r="H3476" s="28"/>
      <c r="I3476" s="29"/>
    </row>
    <row r="3477" spans="6:9" x14ac:dyDescent="0.3">
      <c r="F3477" s="29"/>
      <c r="G3477" s="29"/>
      <c r="H3477" s="28"/>
      <c r="I3477" s="29"/>
    </row>
    <row r="3478" spans="6:9" x14ac:dyDescent="0.3">
      <c r="F3478" s="29"/>
      <c r="G3478" s="29"/>
      <c r="H3478" s="28"/>
      <c r="I3478" s="29"/>
    </row>
    <row r="3479" spans="6:9" x14ac:dyDescent="0.3">
      <c r="F3479" s="29"/>
      <c r="G3479" s="29"/>
      <c r="H3479" s="28"/>
      <c r="I3479" s="29"/>
    </row>
    <row r="3480" spans="6:9" x14ac:dyDescent="0.3">
      <c r="F3480" s="29"/>
      <c r="G3480" s="29"/>
      <c r="H3480" s="28"/>
      <c r="I3480" s="29"/>
    </row>
    <row r="3481" spans="6:9" x14ac:dyDescent="0.3">
      <c r="F3481" s="29"/>
      <c r="G3481" s="29"/>
      <c r="H3481" s="28"/>
      <c r="I3481" s="29"/>
    </row>
    <row r="3482" spans="6:9" x14ac:dyDescent="0.3">
      <c r="F3482" s="29"/>
      <c r="G3482" s="29"/>
      <c r="H3482" s="28"/>
      <c r="I3482" s="29"/>
    </row>
    <row r="3483" spans="6:9" x14ac:dyDescent="0.3">
      <c r="F3483" s="29"/>
      <c r="G3483" s="29"/>
      <c r="H3483" s="28"/>
      <c r="I3483" s="29"/>
    </row>
    <row r="3484" spans="6:9" x14ac:dyDescent="0.3">
      <c r="F3484" s="29"/>
      <c r="G3484" s="29"/>
      <c r="H3484" s="28"/>
      <c r="I3484" s="29"/>
    </row>
    <row r="3485" spans="6:9" x14ac:dyDescent="0.3">
      <c r="F3485" s="29"/>
      <c r="G3485" s="29"/>
      <c r="H3485" s="28"/>
      <c r="I3485" s="29"/>
    </row>
    <row r="3486" spans="6:9" x14ac:dyDescent="0.3">
      <c r="F3486" s="29"/>
      <c r="G3486" s="29"/>
      <c r="H3486" s="28"/>
      <c r="I3486" s="29"/>
    </row>
    <row r="3487" spans="6:9" x14ac:dyDescent="0.3">
      <c r="F3487" s="29"/>
      <c r="G3487" s="29"/>
      <c r="H3487" s="28"/>
      <c r="I3487" s="29"/>
    </row>
    <row r="3488" spans="6:9" x14ac:dyDescent="0.3">
      <c r="F3488" s="29"/>
      <c r="G3488" s="29"/>
      <c r="H3488" s="28"/>
      <c r="I3488" s="29"/>
    </row>
    <row r="3489" spans="6:9" x14ac:dyDescent="0.3">
      <c r="F3489" s="29"/>
      <c r="G3489" s="29"/>
      <c r="H3489" s="28"/>
      <c r="I3489" s="29"/>
    </row>
    <row r="3490" spans="6:9" x14ac:dyDescent="0.3">
      <c r="F3490" s="29"/>
      <c r="G3490" s="29"/>
      <c r="H3490" s="28"/>
      <c r="I3490" s="29"/>
    </row>
    <row r="3491" spans="6:9" x14ac:dyDescent="0.3">
      <c r="F3491" s="29"/>
      <c r="G3491" s="29"/>
      <c r="H3491" s="28"/>
      <c r="I3491" s="29"/>
    </row>
    <row r="3492" spans="6:9" x14ac:dyDescent="0.3">
      <c r="F3492" s="29"/>
      <c r="G3492" s="29"/>
      <c r="H3492" s="28"/>
      <c r="I3492" s="29"/>
    </row>
    <row r="3493" spans="6:9" x14ac:dyDescent="0.3">
      <c r="F3493" s="29"/>
      <c r="G3493" s="29"/>
      <c r="H3493" s="28"/>
      <c r="I3493" s="29"/>
    </row>
    <row r="3494" spans="6:9" x14ac:dyDescent="0.3">
      <c r="F3494" s="29"/>
      <c r="G3494" s="29"/>
      <c r="H3494" s="28"/>
      <c r="I3494" s="29"/>
    </row>
    <row r="3495" spans="6:9" x14ac:dyDescent="0.3">
      <c r="F3495" s="29"/>
      <c r="G3495" s="29"/>
      <c r="H3495" s="28"/>
      <c r="I3495" s="29"/>
    </row>
    <row r="3496" spans="6:9" x14ac:dyDescent="0.3">
      <c r="F3496" s="29"/>
      <c r="G3496" s="29"/>
      <c r="H3496" s="28"/>
      <c r="I3496" s="29"/>
    </row>
    <row r="3497" spans="6:9" x14ac:dyDescent="0.3">
      <c r="F3497" s="29"/>
      <c r="G3497" s="29"/>
      <c r="H3497" s="28"/>
      <c r="I3497" s="29"/>
    </row>
    <row r="3498" spans="6:9" x14ac:dyDescent="0.3">
      <c r="F3498" s="29"/>
      <c r="G3498" s="29"/>
      <c r="H3498" s="28"/>
      <c r="I3498" s="29"/>
    </row>
    <row r="3499" spans="6:9" x14ac:dyDescent="0.3">
      <c r="F3499" s="29"/>
      <c r="G3499" s="29"/>
      <c r="H3499" s="28"/>
      <c r="I3499" s="29"/>
    </row>
    <row r="3500" spans="6:9" x14ac:dyDescent="0.3">
      <c r="F3500" s="29"/>
      <c r="G3500" s="29"/>
      <c r="H3500" s="28"/>
      <c r="I3500" s="29"/>
    </row>
    <row r="3501" spans="6:9" x14ac:dyDescent="0.3">
      <c r="F3501" s="29"/>
      <c r="G3501" s="29"/>
      <c r="H3501" s="28"/>
      <c r="I3501" s="29"/>
    </row>
    <row r="3502" spans="6:9" x14ac:dyDescent="0.3">
      <c r="F3502" s="29"/>
      <c r="G3502" s="29"/>
      <c r="H3502" s="28"/>
      <c r="I3502" s="29"/>
    </row>
    <row r="3503" spans="6:9" x14ac:dyDescent="0.3">
      <c r="F3503" s="29"/>
      <c r="G3503" s="29"/>
      <c r="H3503" s="28"/>
      <c r="I3503" s="29"/>
    </row>
    <row r="3504" spans="6:9" x14ac:dyDescent="0.3">
      <c r="F3504" s="29"/>
      <c r="G3504" s="29"/>
      <c r="H3504" s="28"/>
      <c r="I3504" s="29"/>
    </row>
    <row r="3505" spans="6:9" x14ac:dyDescent="0.3">
      <c r="F3505" s="29"/>
      <c r="G3505" s="29"/>
      <c r="H3505" s="28"/>
      <c r="I3505" s="29"/>
    </row>
    <row r="3506" spans="6:9" x14ac:dyDescent="0.3">
      <c r="F3506" s="29"/>
      <c r="G3506" s="29"/>
      <c r="H3506" s="28"/>
      <c r="I3506" s="29"/>
    </row>
    <row r="3507" spans="6:9" x14ac:dyDescent="0.3">
      <c r="F3507" s="29"/>
      <c r="G3507" s="29"/>
      <c r="H3507" s="28"/>
      <c r="I3507" s="29"/>
    </row>
    <row r="3508" spans="6:9" x14ac:dyDescent="0.3">
      <c r="F3508" s="29"/>
      <c r="G3508" s="29"/>
      <c r="H3508" s="28"/>
      <c r="I3508" s="29"/>
    </row>
    <row r="3509" spans="6:9" x14ac:dyDescent="0.3">
      <c r="F3509" s="29"/>
      <c r="G3509" s="29"/>
      <c r="H3509" s="28"/>
      <c r="I3509" s="29"/>
    </row>
    <row r="3510" spans="6:9" x14ac:dyDescent="0.3">
      <c r="F3510" s="29"/>
      <c r="G3510" s="29"/>
      <c r="H3510" s="28"/>
      <c r="I3510" s="29"/>
    </row>
    <row r="3511" spans="6:9" x14ac:dyDescent="0.3">
      <c r="F3511" s="29"/>
      <c r="G3511" s="29"/>
      <c r="H3511" s="28"/>
      <c r="I3511" s="29"/>
    </row>
    <row r="3512" spans="6:9" x14ac:dyDescent="0.3">
      <c r="F3512" s="29"/>
      <c r="G3512" s="29"/>
      <c r="H3512" s="28"/>
      <c r="I3512" s="29"/>
    </row>
    <row r="3513" spans="6:9" x14ac:dyDescent="0.3">
      <c r="F3513" s="29"/>
      <c r="G3513" s="29"/>
      <c r="H3513" s="28"/>
      <c r="I3513" s="29"/>
    </row>
    <row r="3514" spans="6:9" x14ac:dyDescent="0.3">
      <c r="F3514" s="29"/>
      <c r="G3514" s="29"/>
      <c r="H3514" s="28"/>
      <c r="I3514" s="29"/>
    </row>
    <row r="3515" spans="6:9" x14ac:dyDescent="0.3">
      <c r="F3515" s="29"/>
      <c r="G3515" s="29"/>
      <c r="H3515" s="28"/>
      <c r="I3515" s="29"/>
    </row>
    <row r="3516" spans="6:9" x14ac:dyDescent="0.3">
      <c r="F3516" s="29"/>
      <c r="G3516" s="29"/>
      <c r="H3516" s="28"/>
      <c r="I3516" s="29"/>
    </row>
    <row r="3517" spans="6:9" x14ac:dyDescent="0.3">
      <c r="F3517" s="29"/>
      <c r="G3517" s="29"/>
      <c r="H3517" s="28"/>
      <c r="I3517" s="29"/>
    </row>
    <row r="3518" spans="6:9" x14ac:dyDescent="0.3">
      <c r="F3518" s="29"/>
      <c r="G3518" s="29"/>
      <c r="H3518" s="28"/>
      <c r="I3518" s="29"/>
    </row>
    <row r="3519" spans="6:9" x14ac:dyDescent="0.3">
      <c r="F3519" s="29"/>
      <c r="G3519" s="29"/>
      <c r="H3519" s="28"/>
      <c r="I3519" s="29"/>
    </row>
    <row r="3520" spans="6:9" x14ac:dyDescent="0.3">
      <c r="F3520" s="29"/>
      <c r="G3520" s="29"/>
      <c r="H3520" s="28"/>
      <c r="I3520" s="29"/>
    </row>
    <row r="3521" spans="6:9" x14ac:dyDescent="0.3">
      <c r="F3521" s="29"/>
      <c r="G3521" s="29"/>
      <c r="H3521" s="28"/>
      <c r="I3521" s="29"/>
    </row>
    <row r="3522" spans="6:9" x14ac:dyDescent="0.3">
      <c r="F3522" s="29"/>
      <c r="G3522" s="29"/>
      <c r="H3522" s="28"/>
      <c r="I3522" s="29"/>
    </row>
    <row r="3523" spans="6:9" x14ac:dyDescent="0.3">
      <c r="F3523" s="29"/>
      <c r="G3523" s="29"/>
      <c r="H3523" s="28"/>
      <c r="I3523" s="29"/>
    </row>
    <row r="3524" spans="6:9" x14ac:dyDescent="0.3">
      <c r="F3524" s="29"/>
      <c r="G3524" s="29"/>
      <c r="H3524" s="28"/>
      <c r="I3524" s="29"/>
    </row>
    <row r="3525" spans="6:9" x14ac:dyDescent="0.3">
      <c r="F3525" s="29"/>
      <c r="G3525" s="29"/>
      <c r="H3525" s="28"/>
      <c r="I3525" s="29"/>
    </row>
    <row r="3526" spans="6:9" x14ac:dyDescent="0.3">
      <c r="F3526" s="29"/>
      <c r="G3526" s="29"/>
      <c r="H3526" s="28"/>
      <c r="I3526" s="29"/>
    </row>
    <row r="3527" spans="6:9" x14ac:dyDescent="0.3">
      <c r="F3527" s="29"/>
      <c r="G3527" s="29"/>
      <c r="H3527" s="28"/>
      <c r="I3527" s="29"/>
    </row>
    <row r="3528" spans="6:9" x14ac:dyDescent="0.3">
      <c r="F3528" s="29"/>
      <c r="G3528" s="29"/>
      <c r="H3528" s="28"/>
      <c r="I3528" s="29"/>
    </row>
    <row r="3529" spans="6:9" x14ac:dyDescent="0.3">
      <c r="F3529" s="29"/>
      <c r="G3529" s="29"/>
      <c r="H3529" s="28"/>
      <c r="I3529" s="29"/>
    </row>
    <row r="3530" spans="6:9" x14ac:dyDescent="0.3">
      <c r="F3530" s="29"/>
      <c r="G3530" s="29"/>
      <c r="H3530" s="28"/>
      <c r="I3530" s="29"/>
    </row>
    <row r="3531" spans="6:9" x14ac:dyDescent="0.3">
      <c r="F3531" s="29"/>
      <c r="G3531" s="29"/>
      <c r="H3531" s="28"/>
      <c r="I3531" s="29"/>
    </row>
    <row r="3532" spans="6:9" x14ac:dyDescent="0.3">
      <c r="F3532" s="29"/>
      <c r="G3532" s="29"/>
      <c r="H3532" s="28"/>
      <c r="I3532" s="29"/>
    </row>
    <row r="3533" spans="6:9" x14ac:dyDescent="0.3">
      <c r="F3533" s="29"/>
      <c r="G3533" s="29"/>
      <c r="H3533" s="28"/>
      <c r="I3533" s="29"/>
    </row>
    <row r="3534" spans="6:9" x14ac:dyDescent="0.3">
      <c r="F3534" s="29"/>
      <c r="G3534" s="29"/>
      <c r="H3534" s="28"/>
      <c r="I3534" s="29"/>
    </row>
    <row r="3535" spans="6:9" x14ac:dyDescent="0.3">
      <c r="F3535" s="29"/>
      <c r="G3535" s="29"/>
      <c r="H3535" s="28"/>
      <c r="I3535" s="29"/>
    </row>
    <row r="3536" spans="6:9" x14ac:dyDescent="0.3">
      <c r="F3536" s="29"/>
      <c r="G3536" s="29"/>
      <c r="H3536" s="28"/>
      <c r="I3536" s="29"/>
    </row>
    <row r="3537" spans="6:9" x14ac:dyDescent="0.3">
      <c r="F3537" s="29"/>
      <c r="G3537" s="29"/>
      <c r="H3537" s="28"/>
      <c r="I3537" s="29"/>
    </row>
    <row r="3538" spans="6:9" x14ac:dyDescent="0.3">
      <c r="F3538" s="29"/>
      <c r="G3538" s="29"/>
      <c r="H3538" s="28"/>
      <c r="I3538" s="29"/>
    </row>
    <row r="3539" spans="6:9" x14ac:dyDescent="0.3">
      <c r="F3539" s="29"/>
      <c r="G3539" s="29"/>
      <c r="H3539" s="28"/>
      <c r="I3539" s="29"/>
    </row>
    <row r="3540" spans="6:9" x14ac:dyDescent="0.3">
      <c r="F3540" s="29"/>
      <c r="G3540" s="29"/>
      <c r="H3540" s="28"/>
      <c r="I3540" s="29"/>
    </row>
    <row r="3541" spans="6:9" x14ac:dyDescent="0.3">
      <c r="F3541" s="29"/>
      <c r="G3541" s="29"/>
      <c r="H3541" s="28"/>
      <c r="I3541" s="29"/>
    </row>
    <row r="3542" spans="6:9" x14ac:dyDescent="0.3">
      <c r="F3542" s="29"/>
      <c r="G3542" s="29"/>
      <c r="H3542" s="28"/>
      <c r="I3542" s="29"/>
    </row>
    <row r="3543" spans="6:9" x14ac:dyDescent="0.3">
      <c r="F3543" s="29"/>
      <c r="G3543" s="29"/>
      <c r="H3543" s="28"/>
      <c r="I3543" s="29"/>
    </row>
    <row r="3544" spans="6:9" x14ac:dyDescent="0.3">
      <c r="F3544" s="29"/>
      <c r="G3544" s="29"/>
      <c r="H3544" s="28"/>
      <c r="I3544" s="29"/>
    </row>
    <row r="3545" spans="6:9" x14ac:dyDescent="0.3">
      <c r="F3545" s="29"/>
      <c r="G3545" s="29"/>
      <c r="H3545" s="28"/>
      <c r="I3545" s="29"/>
    </row>
    <row r="3546" spans="6:9" x14ac:dyDescent="0.3">
      <c r="F3546" s="29"/>
      <c r="G3546" s="29"/>
      <c r="H3546" s="28"/>
      <c r="I3546" s="29"/>
    </row>
    <row r="3547" spans="6:9" x14ac:dyDescent="0.3">
      <c r="F3547" s="29"/>
      <c r="G3547" s="29"/>
      <c r="H3547" s="28"/>
      <c r="I3547" s="29"/>
    </row>
    <row r="3548" spans="6:9" x14ac:dyDescent="0.3">
      <c r="F3548" s="29"/>
      <c r="G3548" s="29"/>
      <c r="H3548" s="28"/>
      <c r="I3548" s="29"/>
    </row>
    <row r="3549" spans="6:9" x14ac:dyDescent="0.3">
      <c r="F3549" s="29"/>
      <c r="G3549" s="29"/>
      <c r="H3549" s="28"/>
      <c r="I3549" s="29"/>
    </row>
    <row r="3550" spans="6:9" x14ac:dyDescent="0.3">
      <c r="F3550" s="29"/>
      <c r="G3550" s="29"/>
      <c r="H3550" s="28"/>
      <c r="I3550" s="29"/>
    </row>
    <row r="3551" spans="6:9" x14ac:dyDescent="0.3">
      <c r="F3551" s="29"/>
      <c r="G3551" s="29"/>
      <c r="H3551" s="28"/>
      <c r="I3551" s="29"/>
    </row>
    <row r="3552" spans="6:9" x14ac:dyDescent="0.3">
      <c r="F3552" s="29"/>
      <c r="G3552" s="29"/>
      <c r="H3552" s="28"/>
      <c r="I3552" s="29"/>
    </row>
    <row r="3553" spans="6:9" x14ac:dyDescent="0.3">
      <c r="F3553" s="29"/>
      <c r="G3553" s="29"/>
      <c r="H3553" s="28"/>
      <c r="I3553" s="29"/>
    </row>
    <row r="3554" spans="6:9" x14ac:dyDescent="0.3">
      <c r="F3554" s="29"/>
      <c r="G3554" s="29"/>
      <c r="H3554" s="28"/>
      <c r="I3554" s="29"/>
    </row>
    <row r="3555" spans="6:9" x14ac:dyDescent="0.3">
      <c r="F3555" s="29"/>
      <c r="G3555" s="29"/>
      <c r="H3555" s="28"/>
      <c r="I3555" s="29"/>
    </row>
    <row r="3556" spans="6:9" x14ac:dyDescent="0.3">
      <c r="F3556" s="29"/>
      <c r="G3556" s="29"/>
      <c r="H3556" s="28"/>
      <c r="I3556" s="29"/>
    </row>
    <row r="3557" spans="6:9" x14ac:dyDescent="0.3">
      <c r="F3557" s="29"/>
      <c r="G3557" s="29"/>
      <c r="H3557" s="28"/>
      <c r="I3557" s="29"/>
    </row>
    <row r="3558" spans="6:9" x14ac:dyDescent="0.3">
      <c r="F3558" s="29"/>
      <c r="G3558" s="29"/>
      <c r="H3558" s="28"/>
      <c r="I3558" s="29"/>
    </row>
    <row r="3559" spans="6:9" x14ac:dyDescent="0.3">
      <c r="F3559" s="29"/>
      <c r="G3559" s="29"/>
      <c r="H3559" s="28"/>
      <c r="I3559" s="29"/>
    </row>
    <row r="3560" spans="6:9" x14ac:dyDescent="0.3">
      <c r="F3560" s="29"/>
      <c r="G3560" s="29"/>
      <c r="H3560" s="28"/>
      <c r="I3560" s="29"/>
    </row>
    <row r="3561" spans="6:9" x14ac:dyDescent="0.3">
      <c r="F3561" s="29"/>
      <c r="G3561" s="29"/>
      <c r="H3561" s="28"/>
      <c r="I3561" s="29"/>
    </row>
    <row r="3562" spans="6:9" x14ac:dyDescent="0.3">
      <c r="F3562" s="29"/>
      <c r="G3562" s="29"/>
      <c r="H3562" s="28"/>
      <c r="I3562" s="29"/>
    </row>
    <row r="3563" spans="6:9" x14ac:dyDescent="0.3">
      <c r="F3563" s="29"/>
      <c r="G3563" s="29"/>
      <c r="H3563" s="28"/>
      <c r="I3563" s="29"/>
    </row>
    <row r="3564" spans="6:9" x14ac:dyDescent="0.3">
      <c r="F3564" s="29"/>
      <c r="G3564" s="29"/>
      <c r="H3564" s="28"/>
      <c r="I3564" s="29"/>
    </row>
    <row r="3565" spans="6:9" x14ac:dyDescent="0.3">
      <c r="F3565" s="29"/>
      <c r="G3565" s="29"/>
      <c r="H3565" s="28"/>
      <c r="I3565" s="29"/>
    </row>
    <row r="3566" spans="6:9" x14ac:dyDescent="0.3">
      <c r="F3566" s="29"/>
      <c r="G3566" s="29"/>
      <c r="H3566" s="28"/>
      <c r="I3566" s="29"/>
    </row>
    <row r="3567" spans="6:9" x14ac:dyDescent="0.3">
      <c r="F3567" s="29"/>
      <c r="G3567" s="29"/>
      <c r="H3567" s="28"/>
      <c r="I3567" s="29"/>
    </row>
    <row r="3568" spans="6:9" x14ac:dyDescent="0.3">
      <c r="F3568" s="29"/>
      <c r="G3568" s="29"/>
      <c r="H3568" s="28"/>
      <c r="I3568" s="29"/>
    </row>
    <row r="3569" spans="6:9" x14ac:dyDescent="0.3">
      <c r="F3569" s="29"/>
      <c r="G3569" s="29"/>
      <c r="H3569" s="28"/>
      <c r="I3569" s="29"/>
    </row>
    <row r="3570" spans="6:9" x14ac:dyDescent="0.3">
      <c r="F3570" s="29"/>
      <c r="G3570" s="29"/>
      <c r="H3570" s="28"/>
      <c r="I3570" s="29"/>
    </row>
    <row r="3571" spans="6:9" x14ac:dyDescent="0.3">
      <c r="F3571" s="29"/>
      <c r="G3571" s="29"/>
      <c r="H3571" s="28"/>
      <c r="I3571" s="29"/>
    </row>
    <row r="3572" spans="6:9" x14ac:dyDescent="0.3">
      <c r="F3572" s="29"/>
      <c r="G3572" s="29"/>
      <c r="H3572" s="28"/>
      <c r="I3572" s="29"/>
    </row>
    <row r="3573" spans="6:9" x14ac:dyDescent="0.3">
      <c r="F3573" s="29"/>
      <c r="G3573" s="29"/>
      <c r="H3573" s="28"/>
      <c r="I3573" s="29"/>
    </row>
    <row r="3574" spans="6:9" x14ac:dyDescent="0.3">
      <c r="F3574" s="29"/>
      <c r="G3574" s="29"/>
      <c r="H3574" s="28"/>
      <c r="I3574" s="29"/>
    </row>
    <row r="3575" spans="6:9" x14ac:dyDescent="0.3">
      <c r="F3575" s="29"/>
      <c r="G3575" s="29"/>
      <c r="H3575" s="28"/>
      <c r="I3575" s="29"/>
    </row>
    <row r="3576" spans="6:9" x14ac:dyDescent="0.3">
      <c r="F3576" s="29"/>
      <c r="G3576" s="29"/>
      <c r="H3576" s="28"/>
      <c r="I3576" s="29"/>
    </row>
    <row r="3577" spans="6:9" x14ac:dyDescent="0.3">
      <c r="F3577" s="29"/>
      <c r="G3577" s="29"/>
      <c r="H3577" s="28"/>
      <c r="I3577" s="29"/>
    </row>
    <row r="3578" spans="6:9" x14ac:dyDescent="0.3">
      <c r="F3578" s="29"/>
      <c r="G3578" s="29"/>
      <c r="H3578" s="28"/>
      <c r="I3578" s="29"/>
    </row>
    <row r="3579" spans="6:9" x14ac:dyDescent="0.3">
      <c r="F3579" s="29"/>
      <c r="G3579" s="29"/>
      <c r="H3579" s="28"/>
      <c r="I3579" s="29"/>
    </row>
    <row r="3580" spans="6:9" x14ac:dyDescent="0.3">
      <c r="F3580" s="29"/>
      <c r="G3580" s="29"/>
      <c r="H3580" s="28"/>
      <c r="I3580" s="29"/>
    </row>
    <row r="3581" spans="6:9" x14ac:dyDescent="0.3">
      <c r="F3581" s="29"/>
      <c r="G3581" s="29"/>
      <c r="H3581" s="28"/>
      <c r="I3581" s="29"/>
    </row>
    <row r="3582" spans="6:9" x14ac:dyDescent="0.3">
      <c r="F3582" s="29"/>
      <c r="G3582" s="29"/>
      <c r="H3582" s="28"/>
      <c r="I3582" s="29"/>
    </row>
    <row r="3583" spans="6:9" x14ac:dyDescent="0.3">
      <c r="F3583" s="29"/>
      <c r="G3583" s="29"/>
      <c r="H3583" s="28"/>
      <c r="I3583" s="29"/>
    </row>
    <row r="3584" spans="6:9" x14ac:dyDescent="0.3">
      <c r="F3584" s="29"/>
      <c r="G3584" s="29"/>
      <c r="H3584" s="28"/>
      <c r="I3584" s="29"/>
    </row>
    <row r="3585" spans="6:9" x14ac:dyDescent="0.3">
      <c r="F3585" s="29"/>
      <c r="G3585" s="29"/>
      <c r="H3585" s="28"/>
      <c r="I3585" s="29"/>
    </row>
    <row r="3586" spans="6:9" x14ac:dyDescent="0.3">
      <c r="F3586" s="29"/>
      <c r="G3586" s="29"/>
      <c r="H3586" s="28"/>
      <c r="I3586" s="29"/>
    </row>
    <row r="3587" spans="6:9" x14ac:dyDescent="0.3">
      <c r="F3587" s="29"/>
      <c r="G3587" s="29"/>
      <c r="H3587" s="28"/>
      <c r="I3587" s="29"/>
    </row>
    <row r="3588" spans="6:9" x14ac:dyDescent="0.3">
      <c r="F3588" s="29"/>
      <c r="G3588" s="29"/>
      <c r="H3588" s="28"/>
      <c r="I3588" s="29"/>
    </row>
    <row r="3589" spans="6:9" x14ac:dyDescent="0.3">
      <c r="F3589" s="29"/>
      <c r="G3589" s="29"/>
      <c r="H3589" s="28"/>
      <c r="I3589" s="29"/>
    </row>
    <row r="3590" spans="6:9" x14ac:dyDescent="0.3">
      <c r="F3590" s="29"/>
      <c r="G3590" s="29"/>
      <c r="H3590" s="28"/>
      <c r="I3590" s="29"/>
    </row>
    <row r="3591" spans="6:9" x14ac:dyDescent="0.3">
      <c r="F3591" s="29"/>
      <c r="G3591" s="29"/>
      <c r="H3591" s="28"/>
      <c r="I3591" s="29"/>
    </row>
    <row r="3592" spans="6:9" x14ac:dyDescent="0.3">
      <c r="F3592" s="29"/>
      <c r="G3592" s="29"/>
      <c r="H3592" s="28"/>
      <c r="I3592" s="29"/>
    </row>
    <row r="3593" spans="6:9" x14ac:dyDescent="0.3">
      <c r="F3593" s="29"/>
      <c r="G3593" s="29"/>
      <c r="H3593" s="28"/>
      <c r="I3593" s="29"/>
    </row>
    <row r="3594" spans="6:9" x14ac:dyDescent="0.3">
      <c r="F3594" s="29"/>
      <c r="G3594" s="29"/>
      <c r="H3594" s="28"/>
      <c r="I3594" s="29"/>
    </row>
    <row r="3595" spans="6:9" x14ac:dyDescent="0.3">
      <c r="F3595" s="29"/>
      <c r="G3595" s="29"/>
      <c r="H3595" s="28"/>
      <c r="I3595" s="29"/>
    </row>
    <row r="3596" spans="6:9" x14ac:dyDescent="0.3">
      <c r="F3596" s="29"/>
      <c r="G3596" s="29"/>
      <c r="H3596" s="28"/>
      <c r="I3596" s="29"/>
    </row>
    <row r="3597" spans="6:9" x14ac:dyDescent="0.3">
      <c r="F3597" s="29"/>
      <c r="G3597" s="29"/>
      <c r="H3597" s="28"/>
      <c r="I3597" s="29"/>
    </row>
    <row r="3598" spans="6:9" x14ac:dyDescent="0.3">
      <c r="F3598" s="29"/>
      <c r="G3598" s="29"/>
      <c r="H3598" s="28"/>
      <c r="I3598" s="29"/>
    </row>
    <row r="3599" spans="6:9" x14ac:dyDescent="0.3">
      <c r="F3599" s="29"/>
      <c r="G3599" s="29"/>
      <c r="H3599" s="28"/>
      <c r="I3599" s="29"/>
    </row>
    <row r="3600" spans="6:9" x14ac:dyDescent="0.3">
      <c r="F3600" s="29"/>
      <c r="G3600" s="29"/>
      <c r="H3600" s="28"/>
      <c r="I3600" s="29"/>
    </row>
    <row r="3601" spans="6:9" x14ac:dyDescent="0.3">
      <c r="F3601" s="29"/>
      <c r="G3601" s="29"/>
      <c r="H3601" s="28"/>
      <c r="I3601" s="29"/>
    </row>
    <row r="3602" spans="6:9" x14ac:dyDescent="0.3">
      <c r="F3602" s="29"/>
      <c r="G3602" s="29"/>
      <c r="H3602" s="28"/>
      <c r="I3602" s="29"/>
    </row>
    <row r="3603" spans="6:9" x14ac:dyDescent="0.3">
      <c r="F3603" s="29"/>
      <c r="G3603" s="29"/>
      <c r="H3603" s="28"/>
      <c r="I3603" s="29"/>
    </row>
    <row r="3604" spans="6:9" x14ac:dyDescent="0.3">
      <c r="F3604" s="29"/>
      <c r="G3604" s="29"/>
      <c r="H3604" s="28"/>
      <c r="I3604" s="29"/>
    </row>
    <row r="3605" spans="6:9" x14ac:dyDescent="0.3">
      <c r="F3605" s="29"/>
      <c r="G3605" s="29"/>
      <c r="H3605" s="28"/>
      <c r="I3605" s="29"/>
    </row>
    <row r="3606" spans="6:9" x14ac:dyDescent="0.3">
      <c r="F3606" s="29"/>
      <c r="G3606" s="29"/>
      <c r="H3606" s="28"/>
      <c r="I3606" s="29"/>
    </row>
    <row r="3607" spans="6:9" x14ac:dyDescent="0.3">
      <c r="F3607" s="29"/>
      <c r="G3607" s="29"/>
      <c r="H3607" s="28"/>
      <c r="I3607" s="29"/>
    </row>
    <row r="3608" spans="6:9" x14ac:dyDescent="0.3">
      <c r="F3608" s="29"/>
      <c r="G3608" s="29"/>
      <c r="H3608" s="28"/>
      <c r="I3608" s="29"/>
    </row>
    <row r="3609" spans="6:9" x14ac:dyDescent="0.3">
      <c r="F3609" s="29"/>
      <c r="G3609" s="29"/>
      <c r="H3609" s="28"/>
      <c r="I3609" s="29"/>
    </row>
    <row r="3610" spans="6:9" x14ac:dyDescent="0.3">
      <c r="F3610" s="29"/>
      <c r="G3610" s="29"/>
      <c r="H3610" s="28"/>
      <c r="I3610" s="29"/>
    </row>
    <row r="3611" spans="6:9" x14ac:dyDescent="0.3">
      <c r="F3611" s="29"/>
      <c r="G3611" s="29"/>
      <c r="H3611" s="28"/>
      <c r="I3611" s="29"/>
    </row>
    <row r="3612" spans="6:9" x14ac:dyDescent="0.3">
      <c r="F3612" s="29"/>
      <c r="G3612" s="29"/>
      <c r="H3612" s="28"/>
      <c r="I3612" s="29"/>
    </row>
    <row r="3613" spans="6:9" x14ac:dyDescent="0.3">
      <c r="F3613" s="29"/>
      <c r="G3613" s="29"/>
      <c r="H3613" s="28"/>
      <c r="I3613" s="29"/>
    </row>
    <row r="3614" spans="6:9" x14ac:dyDescent="0.3">
      <c r="F3614" s="29"/>
      <c r="G3614" s="29"/>
      <c r="H3614" s="28"/>
      <c r="I3614" s="29"/>
    </row>
    <row r="3615" spans="6:9" x14ac:dyDescent="0.3">
      <c r="F3615" s="29"/>
      <c r="G3615" s="29"/>
      <c r="H3615" s="28"/>
      <c r="I3615" s="29"/>
    </row>
    <row r="3616" spans="6:9" x14ac:dyDescent="0.3">
      <c r="F3616" s="29"/>
      <c r="G3616" s="29"/>
      <c r="H3616" s="28"/>
      <c r="I3616" s="29"/>
    </row>
    <row r="3617" spans="6:9" x14ac:dyDescent="0.3">
      <c r="F3617" s="29"/>
      <c r="G3617" s="29"/>
      <c r="H3617" s="28"/>
      <c r="I3617" s="29"/>
    </row>
    <row r="3618" spans="6:9" x14ac:dyDescent="0.3">
      <c r="F3618" s="29"/>
      <c r="G3618" s="29"/>
      <c r="H3618" s="28"/>
      <c r="I3618" s="29"/>
    </row>
    <row r="3619" spans="6:9" x14ac:dyDescent="0.3">
      <c r="F3619" s="29"/>
      <c r="G3619" s="29"/>
      <c r="H3619" s="28"/>
      <c r="I3619" s="29"/>
    </row>
    <row r="3620" spans="6:9" x14ac:dyDescent="0.3">
      <c r="F3620" s="29"/>
      <c r="G3620" s="29"/>
      <c r="H3620" s="28"/>
      <c r="I3620" s="29"/>
    </row>
    <row r="3621" spans="6:9" x14ac:dyDescent="0.3">
      <c r="F3621" s="29"/>
      <c r="G3621" s="29"/>
      <c r="H3621" s="28"/>
      <c r="I3621" s="29"/>
    </row>
    <row r="3622" spans="6:9" x14ac:dyDescent="0.3">
      <c r="F3622" s="29"/>
      <c r="G3622" s="29"/>
      <c r="H3622" s="28"/>
      <c r="I3622" s="29"/>
    </row>
    <row r="3623" spans="6:9" x14ac:dyDescent="0.3">
      <c r="F3623" s="29"/>
      <c r="G3623" s="29"/>
      <c r="H3623" s="28"/>
      <c r="I3623" s="29"/>
    </row>
    <row r="3624" spans="6:9" x14ac:dyDescent="0.3">
      <c r="F3624" s="29"/>
      <c r="G3624" s="29"/>
      <c r="H3624" s="28"/>
      <c r="I3624" s="29"/>
    </row>
    <row r="3625" spans="6:9" x14ac:dyDescent="0.3">
      <c r="F3625" s="29"/>
      <c r="G3625" s="29"/>
      <c r="H3625" s="28"/>
      <c r="I3625" s="29"/>
    </row>
    <row r="3626" spans="6:9" x14ac:dyDescent="0.3">
      <c r="F3626" s="29"/>
      <c r="G3626" s="29"/>
      <c r="H3626" s="28"/>
      <c r="I3626" s="29"/>
    </row>
    <row r="3627" spans="6:9" x14ac:dyDescent="0.3">
      <c r="F3627" s="29"/>
      <c r="G3627" s="29"/>
      <c r="H3627" s="28"/>
      <c r="I3627" s="29"/>
    </row>
    <row r="3628" spans="6:9" x14ac:dyDescent="0.3">
      <c r="F3628" s="29"/>
      <c r="G3628" s="29"/>
      <c r="H3628" s="28"/>
      <c r="I3628" s="29"/>
    </row>
    <row r="3629" spans="6:9" x14ac:dyDescent="0.3">
      <c r="F3629" s="29"/>
      <c r="G3629" s="29"/>
      <c r="H3629" s="28"/>
      <c r="I3629" s="29"/>
    </row>
    <row r="3630" spans="6:9" x14ac:dyDescent="0.3">
      <c r="F3630" s="29"/>
      <c r="G3630" s="29"/>
      <c r="H3630" s="28"/>
      <c r="I3630" s="29"/>
    </row>
    <row r="3631" spans="6:9" x14ac:dyDescent="0.3">
      <c r="F3631" s="29"/>
      <c r="G3631" s="29"/>
      <c r="H3631" s="28"/>
      <c r="I3631" s="29"/>
    </row>
    <row r="3632" spans="6:9" x14ac:dyDescent="0.3">
      <c r="F3632" s="29"/>
      <c r="G3632" s="29"/>
      <c r="H3632" s="28"/>
      <c r="I3632" s="29"/>
    </row>
    <row r="3633" spans="6:9" x14ac:dyDescent="0.3">
      <c r="F3633" s="29"/>
      <c r="G3633" s="29"/>
      <c r="H3633" s="28"/>
      <c r="I3633" s="29"/>
    </row>
    <row r="3634" spans="6:9" x14ac:dyDescent="0.3">
      <c r="F3634" s="29"/>
      <c r="G3634" s="29"/>
      <c r="H3634" s="28"/>
      <c r="I3634" s="29"/>
    </row>
    <row r="3635" spans="6:9" x14ac:dyDescent="0.3">
      <c r="F3635" s="29"/>
      <c r="G3635" s="29"/>
      <c r="H3635" s="28"/>
      <c r="I3635" s="29"/>
    </row>
    <row r="3636" spans="6:9" x14ac:dyDescent="0.3">
      <c r="F3636" s="29"/>
      <c r="G3636" s="29"/>
      <c r="H3636" s="28"/>
      <c r="I3636" s="29"/>
    </row>
    <row r="3637" spans="6:9" x14ac:dyDescent="0.3">
      <c r="F3637" s="29"/>
      <c r="G3637" s="29"/>
      <c r="H3637" s="28"/>
      <c r="I3637" s="29"/>
    </row>
    <row r="3638" spans="6:9" x14ac:dyDescent="0.3">
      <c r="F3638" s="29"/>
      <c r="G3638" s="29"/>
      <c r="H3638" s="28"/>
      <c r="I3638" s="29"/>
    </row>
    <row r="3639" spans="6:9" x14ac:dyDescent="0.3">
      <c r="F3639" s="29"/>
      <c r="G3639" s="29"/>
      <c r="H3639" s="28"/>
      <c r="I3639" s="29"/>
    </row>
    <row r="3640" spans="6:9" x14ac:dyDescent="0.3">
      <c r="F3640" s="29"/>
      <c r="G3640" s="29"/>
      <c r="H3640" s="28"/>
      <c r="I3640" s="29"/>
    </row>
    <row r="3641" spans="6:9" x14ac:dyDescent="0.3">
      <c r="F3641" s="29"/>
      <c r="G3641" s="29"/>
      <c r="H3641" s="28"/>
      <c r="I3641" s="29"/>
    </row>
    <row r="3642" spans="6:9" x14ac:dyDescent="0.3">
      <c r="F3642" s="29"/>
      <c r="G3642" s="29"/>
      <c r="H3642" s="28"/>
      <c r="I3642" s="29"/>
    </row>
    <row r="3643" spans="6:9" x14ac:dyDescent="0.3">
      <c r="F3643" s="29"/>
      <c r="G3643" s="29"/>
      <c r="H3643" s="28"/>
      <c r="I3643" s="29"/>
    </row>
    <row r="3644" spans="6:9" x14ac:dyDescent="0.3">
      <c r="F3644" s="29"/>
      <c r="G3644" s="29"/>
      <c r="H3644" s="28"/>
      <c r="I3644" s="29"/>
    </row>
    <row r="3645" spans="6:9" x14ac:dyDescent="0.3">
      <c r="F3645" s="29"/>
      <c r="G3645" s="29"/>
      <c r="H3645" s="28"/>
      <c r="I3645" s="29"/>
    </row>
    <row r="3646" spans="6:9" x14ac:dyDescent="0.3">
      <c r="F3646" s="29"/>
      <c r="G3646" s="29"/>
      <c r="H3646" s="28"/>
      <c r="I3646" s="29"/>
    </row>
    <row r="3647" spans="6:9" x14ac:dyDescent="0.3">
      <c r="F3647" s="29"/>
      <c r="G3647" s="29"/>
      <c r="H3647" s="28"/>
      <c r="I3647" s="29"/>
    </row>
    <row r="3648" spans="6:9" x14ac:dyDescent="0.3">
      <c r="F3648" s="29"/>
      <c r="G3648" s="29"/>
      <c r="H3648" s="28"/>
      <c r="I3648" s="29"/>
    </row>
    <row r="3649" spans="6:9" x14ac:dyDescent="0.3">
      <c r="F3649" s="29"/>
      <c r="G3649" s="29"/>
      <c r="H3649" s="28"/>
      <c r="I3649" s="29"/>
    </row>
    <row r="3650" spans="6:9" x14ac:dyDescent="0.3">
      <c r="F3650" s="29"/>
      <c r="G3650" s="29"/>
      <c r="H3650" s="28"/>
      <c r="I3650" s="29"/>
    </row>
    <row r="3651" spans="6:9" x14ac:dyDescent="0.3">
      <c r="F3651" s="29"/>
      <c r="G3651" s="29"/>
      <c r="H3651" s="28"/>
      <c r="I3651" s="29"/>
    </row>
    <row r="3652" spans="6:9" x14ac:dyDescent="0.3">
      <c r="F3652" s="29"/>
      <c r="G3652" s="29"/>
      <c r="H3652" s="28"/>
      <c r="I3652" s="29"/>
    </row>
    <row r="3653" spans="6:9" x14ac:dyDescent="0.3">
      <c r="F3653" s="29"/>
      <c r="G3653" s="29"/>
      <c r="H3653" s="28"/>
      <c r="I3653" s="29"/>
    </row>
    <row r="3654" spans="6:9" x14ac:dyDescent="0.3">
      <c r="F3654" s="29"/>
      <c r="G3654" s="29"/>
      <c r="H3654" s="28"/>
      <c r="I3654" s="29"/>
    </row>
    <row r="3655" spans="6:9" x14ac:dyDescent="0.3">
      <c r="F3655" s="29"/>
      <c r="G3655" s="29"/>
      <c r="H3655" s="28"/>
      <c r="I3655" s="29"/>
    </row>
    <row r="3656" spans="6:9" x14ac:dyDescent="0.3">
      <c r="F3656" s="29"/>
      <c r="G3656" s="29"/>
      <c r="H3656" s="28"/>
      <c r="I3656" s="29"/>
    </row>
    <row r="3657" spans="6:9" x14ac:dyDescent="0.3">
      <c r="F3657" s="29"/>
      <c r="G3657" s="29"/>
      <c r="H3657" s="28"/>
      <c r="I3657" s="29"/>
    </row>
    <row r="3658" spans="6:9" x14ac:dyDescent="0.3">
      <c r="F3658" s="29"/>
      <c r="G3658" s="29"/>
      <c r="H3658" s="28"/>
      <c r="I3658" s="29"/>
    </row>
    <row r="3659" spans="6:9" x14ac:dyDescent="0.3">
      <c r="F3659" s="29"/>
      <c r="G3659" s="29"/>
      <c r="H3659" s="28"/>
      <c r="I3659" s="29"/>
    </row>
    <row r="3660" spans="6:9" x14ac:dyDescent="0.3">
      <c r="F3660" s="29"/>
      <c r="G3660" s="29"/>
      <c r="H3660" s="28"/>
      <c r="I3660" s="29"/>
    </row>
    <row r="3661" spans="6:9" x14ac:dyDescent="0.3">
      <c r="F3661" s="29"/>
      <c r="G3661" s="29"/>
      <c r="H3661" s="28"/>
      <c r="I3661" s="29"/>
    </row>
    <row r="3662" spans="6:9" x14ac:dyDescent="0.3">
      <c r="F3662" s="29"/>
      <c r="G3662" s="29"/>
      <c r="H3662" s="28"/>
      <c r="I3662" s="29"/>
    </row>
    <row r="3663" spans="6:9" x14ac:dyDescent="0.3">
      <c r="F3663" s="29"/>
      <c r="G3663" s="29"/>
      <c r="H3663" s="28"/>
      <c r="I3663" s="29"/>
    </row>
    <row r="3664" spans="6:9" x14ac:dyDescent="0.3">
      <c r="F3664" s="29"/>
      <c r="G3664" s="29"/>
      <c r="H3664" s="28"/>
      <c r="I3664" s="29"/>
    </row>
    <row r="3665" spans="6:9" x14ac:dyDescent="0.3">
      <c r="F3665" s="29"/>
      <c r="G3665" s="29"/>
      <c r="H3665" s="28"/>
      <c r="I3665" s="29"/>
    </row>
    <row r="3666" spans="6:9" x14ac:dyDescent="0.3">
      <c r="F3666" s="29"/>
      <c r="G3666" s="29"/>
      <c r="H3666" s="28"/>
      <c r="I3666" s="29"/>
    </row>
    <row r="3667" spans="6:9" x14ac:dyDescent="0.3">
      <c r="F3667" s="29"/>
      <c r="G3667" s="29"/>
      <c r="H3667" s="28"/>
      <c r="I3667" s="29"/>
    </row>
    <row r="3668" spans="6:9" x14ac:dyDescent="0.3">
      <c r="F3668" s="29"/>
      <c r="G3668" s="29"/>
      <c r="H3668" s="28"/>
      <c r="I3668" s="29"/>
    </row>
    <row r="3669" spans="6:9" x14ac:dyDescent="0.3">
      <c r="F3669" s="29"/>
      <c r="G3669" s="29"/>
      <c r="H3669" s="28"/>
      <c r="I3669" s="29"/>
    </row>
    <row r="3670" spans="6:9" x14ac:dyDescent="0.3">
      <c r="F3670" s="29"/>
      <c r="G3670" s="29"/>
      <c r="H3670" s="28"/>
      <c r="I3670" s="29"/>
    </row>
    <row r="3671" spans="6:9" x14ac:dyDescent="0.3">
      <c r="F3671" s="29"/>
      <c r="G3671" s="29"/>
      <c r="H3671" s="28"/>
      <c r="I3671" s="29"/>
    </row>
    <row r="3672" spans="6:9" x14ac:dyDescent="0.3">
      <c r="F3672" s="29"/>
      <c r="G3672" s="29"/>
      <c r="H3672" s="28"/>
      <c r="I3672" s="29"/>
    </row>
    <row r="3673" spans="6:9" x14ac:dyDescent="0.3">
      <c r="F3673" s="29"/>
      <c r="G3673" s="29"/>
      <c r="H3673" s="28"/>
      <c r="I3673" s="29"/>
    </row>
    <row r="3674" spans="6:9" x14ac:dyDescent="0.3">
      <c r="F3674" s="29"/>
      <c r="G3674" s="29"/>
      <c r="H3674" s="28"/>
      <c r="I3674" s="29"/>
    </row>
    <row r="3675" spans="6:9" x14ac:dyDescent="0.3">
      <c r="F3675" s="29"/>
      <c r="G3675" s="29"/>
      <c r="H3675" s="28"/>
      <c r="I3675" s="29"/>
    </row>
    <row r="3676" spans="6:9" x14ac:dyDescent="0.3">
      <c r="F3676" s="29"/>
      <c r="G3676" s="29"/>
      <c r="H3676" s="28"/>
      <c r="I3676" s="29"/>
    </row>
    <row r="3677" spans="6:9" x14ac:dyDescent="0.3">
      <c r="F3677" s="29"/>
      <c r="G3677" s="29"/>
      <c r="H3677" s="28"/>
      <c r="I3677" s="29"/>
    </row>
    <row r="3678" spans="6:9" x14ac:dyDescent="0.3">
      <c r="F3678" s="29"/>
      <c r="G3678" s="29"/>
      <c r="H3678" s="28"/>
      <c r="I3678" s="29"/>
    </row>
    <row r="3679" spans="6:9" x14ac:dyDescent="0.3">
      <c r="F3679" s="29"/>
      <c r="G3679" s="29"/>
      <c r="H3679" s="28"/>
      <c r="I3679" s="29"/>
    </row>
    <row r="3680" spans="6:9" x14ac:dyDescent="0.3">
      <c r="F3680" s="29"/>
      <c r="G3680" s="29"/>
      <c r="H3680" s="28"/>
      <c r="I3680" s="29"/>
    </row>
    <row r="3681" spans="6:9" x14ac:dyDescent="0.3">
      <c r="F3681" s="29"/>
      <c r="G3681" s="29"/>
      <c r="H3681" s="28"/>
      <c r="I3681" s="29"/>
    </row>
    <row r="3682" spans="6:9" x14ac:dyDescent="0.3">
      <c r="F3682" s="29"/>
      <c r="G3682" s="29"/>
      <c r="H3682" s="28"/>
      <c r="I3682" s="29"/>
    </row>
    <row r="3683" spans="6:9" x14ac:dyDescent="0.3">
      <c r="F3683" s="29"/>
      <c r="G3683" s="29"/>
      <c r="H3683" s="28"/>
      <c r="I3683" s="29"/>
    </row>
    <row r="3684" spans="6:9" x14ac:dyDescent="0.3">
      <c r="F3684" s="29"/>
      <c r="G3684" s="29"/>
      <c r="H3684" s="28"/>
      <c r="I3684" s="29"/>
    </row>
    <row r="3685" spans="6:9" x14ac:dyDescent="0.3">
      <c r="F3685" s="29"/>
      <c r="G3685" s="29"/>
      <c r="H3685" s="28"/>
      <c r="I3685" s="29"/>
    </row>
    <row r="3686" spans="6:9" x14ac:dyDescent="0.3">
      <c r="F3686" s="29"/>
      <c r="G3686" s="29"/>
      <c r="H3686" s="28"/>
      <c r="I3686" s="29"/>
    </row>
    <row r="3687" spans="6:9" x14ac:dyDescent="0.3">
      <c r="F3687" s="29"/>
      <c r="G3687" s="29"/>
      <c r="H3687" s="28"/>
      <c r="I3687" s="29"/>
    </row>
    <row r="3688" spans="6:9" x14ac:dyDescent="0.3">
      <c r="F3688" s="29"/>
      <c r="G3688" s="29"/>
      <c r="H3688" s="28"/>
      <c r="I3688" s="29"/>
    </row>
    <row r="3689" spans="6:9" x14ac:dyDescent="0.3">
      <c r="F3689" s="29"/>
      <c r="G3689" s="29"/>
      <c r="H3689" s="28"/>
      <c r="I3689" s="29"/>
    </row>
    <row r="3690" spans="6:9" x14ac:dyDescent="0.3">
      <c r="F3690" s="29"/>
      <c r="G3690" s="29"/>
      <c r="H3690" s="28"/>
      <c r="I3690" s="29"/>
    </row>
    <row r="3691" spans="6:9" x14ac:dyDescent="0.3">
      <c r="F3691" s="29"/>
      <c r="G3691" s="29"/>
      <c r="H3691" s="28"/>
      <c r="I3691" s="29"/>
    </row>
    <row r="3692" spans="6:9" x14ac:dyDescent="0.3">
      <c r="F3692" s="29"/>
      <c r="G3692" s="29"/>
      <c r="H3692" s="28"/>
      <c r="I3692" s="29"/>
    </row>
    <row r="3693" spans="6:9" x14ac:dyDescent="0.3">
      <c r="F3693" s="29"/>
      <c r="G3693" s="29"/>
      <c r="H3693" s="28"/>
      <c r="I3693" s="29"/>
    </row>
    <row r="3694" spans="6:9" x14ac:dyDescent="0.3">
      <c r="F3694" s="29"/>
      <c r="G3694" s="29"/>
      <c r="H3694" s="28"/>
      <c r="I3694" s="29"/>
    </row>
    <row r="3695" spans="6:9" x14ac:dyDescent="0.3">
      <c r="F3695" s="29"/>
      <c r="G3695" s="29"/>
      <c r="H3695" s="28"/>
      <c r="I3695" s="29"/>
    </row>
    <row r="3696" spans="6:9" x14ac:dyDescent="0.3">
      <c r="F3696" s="29"/>
      <c r="G3696" s="29"/>
      <c r="H3696" s="28"/>
      <c r="I3696" s="29"/>
    </row>
    <row r="3697" spans="6:9" x14ac:dyDescent="0.3">
      <c r="F3697" s="29"/>
      <c r="G3697" s="29"/>
      <c r="H3697" s="28"/>
      <c r="I3697" s="29"/>
    </row>
    <row r="3698" spans="6:9" x14ac:dyDescent="0.3">
      <c r="F3698" s="29"/>
      <c r="G3698" s="29"/>
      <c r="H3698" s="28"/>
      <c r="I3698" s="29"/>
    </row>
    <row r="3699" spans="6:9" x14ac:dyDescent="0.3">
      <c r="F3699" s="29"/>
      <c r="G3699" s="29"/>
      <c r="H3699" s="28"/>
      <c r="I3699" s="29"/>
    </row>
    <row r="3700" spans="6:9" x14ac:dyDescent="0.3">
      <c r="F3700" s="29"/>
      <c r="G3700" s="29"/>
      <c r="H3700" s="28"/>
      <c r="I3700" s="29"/>
    </row>
    <row r="3701" spans="6:9" x14ac:dyDescent="0.3">
      <c r="F3701" s="29"/>
      <c r="G3701" s="29"/>
      <c r="H3701" s="28"/>
      <c r="I3701" s="29"/>
    </row>
    <row r="3702" spans="6:9" x14ac:dyDescent="0.3">
      <c r="F3702" s="29"/>
      <c r="G3702" s="29"/>
      <c r="H3702" s="28"/>
      <c r="I3702" s="29"/>
    </row>
    <row r="3703" spans="6:9" x14ac:dyDescent="0.3">
      <c r="F3703" s="29"/>
      <c r="G3703" s="29"/>
      <c r="H3703" s="28"/>
      <c r="I3703" s="29"/>
    </row>
    <row r="3704" spans="6:9" x14ac:dyDescent="0.3">
      <c r="F3704" s="29"/>
      <c r="G3704" s="29"/>
      <c r="H3704" s="28"/>
      <c r="I3704" s="29"/>
    </row>
    <row r="3705" spans="6:9" x14ac:dyDescent="0.3">
      <c r="F3705" s="29"/>
      <c r="G3705" s="29"/>
      <c r="H3705" s="28"/>
      <c r="I3705" s="29"/>
    </row>
    <row r="3706" spans="6:9" x14ac:dyDescent="0.3">
      <c r="F3706" s="29"/>
      <c r="G3706" s="29"/>
      <c r="H3706" s="28"/>
      <c r="I3706" s="29"/>
    </row>
    <row r="3707" spans="6:9" x14ac:dyDescent="0.3">
      <c r="F3707" s="29"/>
      <c r="G3707" s="29"/>
      <c r="H3707" s="28"/>
      <c r="I3707" s="29"/>
    </row>
    <row r="3708" spans="6:9" x14ac:dyDescent="0.3">
      <c r="F3708" s="29"/>
      <c r="G3708" s="29"/>
      <c r="H3708" s="28"/>
      <c r="I3708" s="29"/>
    </row>
    <row r="3709" spans="6:9" x14ac:dyDescent="0.3">
      <c r="F3709" s="29"/>
      <c r="G3709" s="29"/>
      <c r="H3709" s="28"/>
      <c r="I3709" s="29"/>
    </row>
    <row r="3710" spans="6:9" x14ac:dyDescent="0.3">
      <c r="F3710" s="29"/>
      <c r="G3710" s="29"/>
      <c r="H3710" s="28"/>
      <c r="I3710" s="29"/>
    </row>
    <row r="3711" spans="6:9" x14ac:dyDescent="0.3">
      <c r="F3711" s="29"/>
      <c r="G3711" s="29"/>
      <c r="H3711" s="28"/>
      <c r="I3711" s="29"/>
    </row>
    <row r="3712" spans="6:9" x14ac:dyDescent="0.3">
      <c r="F3712" s="29"/>
      <c r="G3712" s="29"/>
      <c r="H3712" s="28"/>
      <c r="I3712" s="29"/>
    </row>
    <row r="3713" spans="6:9" x14ac:dyDescent="0.3">
      <c r="F3713" s="29"/>
      <c r="G3713" s="29"/>
      <c r="H3713" s="28"/>
      <c r="I3713" s="29"/>
    </row>
    <row r="3714" spans="6:9" x14ac:dyDescent="0.3">
      <c r="F3714" s="29"/>
      <c r="G3714" s="29"/>
      <c r="H3714" s="28"/>
      <c r="I3714" s="29"/>
    </row>
    <row r="3715" spans="6:9" x14ac:dyDescent="0.3">
      <c r="F3715" s="29"/>
      <c r="G3715" s="29"/>
      <c r="H3715" s="28"/>
      <c r="I3715" s="29"/>
    </row>
    <row r="3716" spans="6:9" x14ac:dyDescent="0.3">
      <c r="F3716" s="29"/>
      <c r="G3716" s="29"/>
      <c r="H3716" s="28"/>
      <c r="I3716" s="29"/>
    </row>
    <row r="3717" spans="6:9" x14ac:dyDescent="0.3">
      <c r="F3717" s="29"/>
      <c r="G3717" s="29"/>
      <c r="H3717" s="28"/>
      <c r="I3717" s="29"/>
    </row>
    <row r="3718" spans="6:9" x14ac:dyDescent="0.3">
      <c r="F3718" s="29"/>
      <c r="G3718" s="29"/>
      <c r="H3718" s="28"/>
      <c r="I3718" s="29"/>
    </row>
    <row r="3719" spans="6:9" x14ac:dyDescent="0.3">
      <c r="F3719" s="29"/>
      <c r="G3719" s="29"/>
      <c r="H3719" s="28"/>
      <c r="I3719" s="29"/>
    </row>
    <row r="3720" spans="6:9" x14ac:dyDescent="0.3">
      <c r="F3720" s="29"/>
      <c r="G3720" s="29"/>
      <c r="H3720" s="28"/>
      <c r="I3720" s="29"/>
    </row>
    <row r="3721" spans="6:9" x14ac:dyDescent="0.3">
      <c r="F3721" s="29"/>
      <c r="G3721" s="29"/>
      <c r="H3721" s="28"/>
      <c r="I3721" s="29"/>
    </row>
    <row r="3722" spans="6:9" x14ac:dyDescent="0.3">
      <c r="F3722" s="29"/>
      <c r="G3722" s="29"/>
      <c r="H3722" s="28"/>
      <c r="I3722" s="29"/>
    </row>
    <row r="3723" spans="6:9" x14ac:dyDescent="0.3">
      <c r="F3723" s="29"/>
      <c r="G3723" s="29"/>
      <c r="H3723" s="28"/>
      <c r="I3723" s="29"/>
    </row>
    <row r="3724" spans="6:9" x14ac:dyDescent="0.3">
      <c r="F3724" s="29"/>
      <c r="G3724" s="29"/>
      <c r="H3724" s="28"/>
      <c r="I3724" s="29"/>
    </row>
    <row r="3725" spans="6:9" x14ac:dyDescent="0.3">
      <c r="F3725" s="29"/>
      <c r="G3725" s="29"/>
      <c r="H3725" s="28"/>
      <c r="I3725" s="29"/>
    </row>
    <row r="3726" spans="6:9" x14ac:dyDescent="0.3">
      <c r="F3726" s="29"/>
      <c r="G3726" s="29"/>
      <c r="H3726" s="28"/>
      <c r="I3726" s="29"/>
    </row>
    <row r="3727" spans="6:9" x14ac:dyDescent="0.3">
      <c r="F3727" s="29"/>
      <c r="G3727" s="29"/>
      <c r="H3727" s="28"/>
      <c r="I3727" s="29"/>
    </row>
    <row r="3728" spans="6:9" x14ac:dyDescent="0.3">
      <c r="F3728" s="29"/>
      <c r="G3728" s="29"/>
      <c r="H3728" s="28"/>
      <c r="I3728" s="29"/>
    </row>
    <row r="3729" spans="6:9" x14ac:dyDescent="0.3">
      <c r="F3729" s="29"/>
      <c r="G3729" s="29"/>
      <c r="H3729" s="28"/>
      <c r="I3729" s="29"/>
    </row>
    <row r="3730" spans="6:9" x14ac:dyDescent="0.3">
      <c r="F3730" s="29"/>
      <c r="G3730" s="29"/>
      <c r="H3730" s="28"/>
      <c r="I3730" s="29"/>
    </row>
    <row r="3731" spans="6:9" x14ac:dyDescent="0.3">
      <c r="F3731" s="29"/>
      <c r="G3731" s="29"/>
      <c r="H3731" s="28"/>
      <c r="I3731" s="29"/>
    </row>
    <row r="3732" spans="6:9" x14ac:dyDescent="0.3">
      <c r="F3732" s="29"/>
      <c r="G3732" s="29"/>
      <c r="H3732" s="28"/>
      <c r="I3732" s="29"/>
    </row>
    <row r="3733" spans="6:9" x14ac:dyDescent="0.3">
      <c r="F3733" s="29"/>
      <c r="G3733" s="29"/>
      <c r="H3733" s="28"/>
      <c r="I3733" s="29"/>
    </row>
    <row r="3734" spans="6:9" x14ac:dyDescent="0.3">
      <c r="F3734" s="29"/>
      <c r="G3734" s="29"/>
      <c r="H3734" s="28"/>
      <c r="I3734" s="29"/>
    </row>
    <row r="3735" spans="6:9" x14ac:dyDescent="0.3">
      <c r="F3735" s="29"/>
      <c r="G3735" s="29"/>
      <c r="H3735" s="28"/>
      <c r="I3735" s="29"/>
    </row>
    <row r="3736" spans="6:9" x14ac:dyDescent="0.3">
      <c r="F3736" s="29"/>
      <c r="G3736" s="29"/>
      <c r="H3736" s="28"/>
      <c r="I3736" s="29"/>
    </row>
    <row r="3737" spans="6:9" x14ac:dyDescent="0.3">
      <c r="F3737" s="29"/>
      <c r="G3737" s="29"/>
      <c r="H3737" s="28"/>
      <c r="I3737" s="29"/>
    </row>
    <row r="3738" spans="6:9" x14ac:dyDescent="0.3">
      <c r="F3738" s="29"/>
      <c r="G3738" s="29"/>
      <c r="H3738" s="28"/>
      <c r="I3738" s="29"/>
    </row>
    <row r="3739" spans="6:9" x14ac:dyDescent="0.3">
      <c r="F3739" s="29"/>
      <c r="G3739" s="29"/>
      <c r="H3739" s="28"/>
      <c r="I3739" s="29"/>
    </row>
    <row r="3740" spans="6:9" x14ac:dyDescent="0.3">
      <c r="F3740" s="29"/>
      <c r="G3740" s="29"/>
      <c r="H3740" s="28"/>
      <c r="I3740" s="29"/>
    </row>
    <row r="3741" spans="6:9" x14ac:dyDescent="0.3">
      <c r="F3741" s="29"/>
      <c r="G3741" s="29"/>
      <c r="H3741" s="28"/>
      <c r="I3741" s="29"/>
    </row>
    <row r="3742" spans="6:9" x14ac:dyDescent="0.3">
      <c r="F3742" s="29"/>
      <c r="G3742" s="29"/>
      <c r="H3742" s="28"/>
      <c r="I3742" s="29"/>
    </row>
    <row r="3743" spans="6:9" x14ac:dyDescent="0.3">
      <c r="F3743" s="29"/>
      <c r="G3743" s="29"/>
      <c r="H3743" s="28"/>
      <c r="I3743" s="29"/>
    </row>
    <row r="3744" spans="6:9" x14ac:dyDescent="0.3">
      <c r="F3744" s="29"/>
      <c r="G3744" s="29"/>
      <c r="H3744" s="28"/>
      <c r="I3744" s="29"/>
    </row>
    <row r="3745" spans="6:9" x14ac:dyDescent="0.3">
      <c r="F3745" s="29"/>
      <c r="G3745" s="29"/>
      <c r="H3745" s="28"/>
      <c r="I3745" s="29"/>
    </row>
    <row r="3746" spans="6:9" x14ac:dyDescent="0.3">
      <c r="F3746" s="29"/>
      <c r="G3746" s="29"/>
      <c r="H3746" s="28"/>
      <c r="I3746" s="29"/>
    </row>
    <row r="3747" spans="6:9" x14ac:dyDescent="0.3">
      <c r="F3747" s="29"/>
      <c r="G3747" s="29"/>
      <c r="H3747" s="28"/>
      <c r="I3747" s="29"/>
    </row>
    <row r="3748" spans="6:9" x14ac:dyDescent="0.3">
      <c r="F3748" s="29"/>
      <c r="G3748" s="29"/>
      <c r="H3748" s="28"/>
      <c r="I3748" s="29"/>
    </row>
    <row r="3749" spans="6:9" x14ac:dyDescent="0.3">
      <c r="F3749" s="29"/>
      <c r="G3749" s="29"/>
      <c r="H3749" s="28"/>
      <c r="I3749" s="29"/>
    </row>
    <row r="3750" spans="6:9" x14ac:dyDescent="0.3">
      <c r="F3750" s="29"/>
      <c r="G3750" s="29"/>
      <c r="H3750" s="28"/>
      <c r="I3750" s="29"/>
    </row>
    <row r="3751" spans="6:9" x14ac:dyDescent="0.3">
      <c r="F3751" s="29"/>
      <c r="G3751" s="29"/>
      <c r="H3751" s="28"/>
      <c r="I3751" s="29"/>
    </row>
    <row r="3752" spans="6:9" x14ac:dyDescent="0.3">
      <c r="F3752" s="29"/>
      <c r="G3752" s="29"/>
      <c r="H3752" s="28"/>
      <c r="I3752" s="29"/>
    </row>
    <row r="3753" spans="6:9" x14ac:dyDescent="0.3">
      <c r="F3753" s="29"/>
      <c r="G3753" s="29"/>
      <c r="H3753" s="28"/>
      <c r="I3753" s="29"/>
    </row>
    <row r="3754" spans="6:9" x14ac:dyDescent="0.3">
      <c r="F3754" s="29"/>
      <c r="G3754" s="29"/>
      <c r="H3754" s="28"/>
      <c r="I3754" s="29"/>
    </row>
    <row r="3755" spans="6:9" x14ac:dyDescent="0.3">
      <c r="F3755" s="29"/>
      <c r="G3755" s="29"/>
      <c r="H3755" s="28"/>
      <c r="I3755" s="29"/>
    </row>
    <row r="3756" spans="6:9" x14ac:dyDescent="0.3">
      <c r="F3756" s="29"/>
      <c r="G3756" s="29"/>
      <c r="H3756" s="28"/>
      <c r="I3756" s="29"/>
    </row>
    <row r="3757" spans="6:9" x14ac:dyDescent="0.3">
      <c r="F3757" s="29"/>
      <c r="G3757" s="29"/>
      <c r="H3757" s="28"/>
      <c r="I3757" s="29"/>
    </row>
    <row r="3758" spans="6:9" x14ac:dyDescent="0.3">
      <c r="F3758" s="29"/>
      <c r="G3758" s="29"/>
      <c r="H3758" s="28"/>
      <c r="I3758" s="29"/>
    </row>
    <row r="3759" spans="6:9" x14ac:dyDescent="0.3">
      <c r="F3759" s="29"/>
      <c r="G3759" s="29"/>
      <c r="H3759" s="28"/>
      <c r="I3759" s="29"/>
    </row>
    <row r="3760" spans="6:9" x14ac:dyDescent="0.3">
      <c r="F3760" s="29"/>
      <c r="G3760" s="29"/>
      <c r="H3760" s="28"/>
      <c r="I3760" s="29"/>
    </row>
    <row r="3761" spans="6:9" x14ac:dyDescent="0.3">
      <c r="F3761" s="29"/>
      <c r="G3761" s="29"/>
      <c r="H3761" s="28"/>
      <c r="I3761" s="29"/>
    </row>
    <row r="3762" spans="6:9" x14ac:dyDescent="0.3">
      <c r="F3762" s="29"/>
      <c r="G3762" s="29"/>
      <c r="H3762" s="28"/>
      <c r="I3762" s="29"/>
    </row>
    <row r="3763" spans="6:9" x14ac:dyDescent="0.3">
      <c r="F3763" s="29"/>
      <c r="G3763" s="29"/>
      <c r="H3763" s="28"/>
      <c r="I3763" s="29"/>
    </row>
    <row r="3764" spans="6:9" x14ac:dyDescent="0.3">
      <c r="F3764" s="29"/>
      <c r="G3764" s="29"/>
      <c r="H3764" s="28"/>
      <c r="I3764" s="29"/>
    </row>
    <row r="3765" spans="6:9" x14ac:dyDescent="0.3">
      <c r="F3765" s="29"/>
      <c r="G3765" s="29"/>
      <c r="H3765" s="28"/>
      <c r="I3765" s="29"/>
    </row>
    <row r="3766" spans="6:9" x14ac:dyDescent="0.3">
      <c r="F3766" s="29"/>
      <c r="G3766" s="29"/>
      <c r="H3766" s="28"/>
      <c r="I3766" s="29"/>
    </row>
    <row r="3767" spans="6:9" x14ac:dyDescent="0.3">
      <c r="F3767" s="29"/>
      <c r="G3767" s="29"/>
      <c r="H3767" s="28"/>
      <c r="I3767" s="29"/>
    </row>
    <row r="3768" spans="6:9" x14ac:dyDescent="0.3">
      <c r="F3768" s="29"/>
      <c r="G3768" s="29"/>
      <c r="H3768" s="28"/>
      <c r="I3768" s="29"/>
    </row>
    <row r="3769" spans="6:9" x14ac:dyDescent="0.3">
      <c r="F3769" s="29"/>
      <c r="G3769" s="29"/>
      <c r="H3769" s="28"/>
      <c r="I3769" s="29"/>
    </row>
    <row r="3770" spans="6:9" x14ac:dyDescent="0.3">
      <c r="F3770" s="29"/>
      <c r="G3770" s="29"/>
      <c r="H3770" s="28"/>
      <c r="I3770" s="29"/>
    </row>
    <row r="3771" spans="6:9" x14ac:dyDescent="0.3">
      <c r="F3771" s="29"/>
      <c r="G3771" s="29"/>
      <c r="H3771" s="28"/>
      <c r="I3771" s="29"/>
    </row>
    <row r="3772" spans="6:9" x14ac:dyDescent="0.3">
      <c r="F3772" s="29"/>
      <c r="G3772" s="29"/>
      <c r="H3772" s="28"/>
      <c r="I3772" s="29"/>
    </row>
    <row r="3773" spans="6:9" x14ac:dyDescent="0.3">
      <c r="F3773" s="29"/>
      <c r="G3773" s="29"/>
      <c r="H3773" s="28"/>
      <c r="I3773" s="29"/>
    </row>
    <row r="3774" spans="6:9" x14ac:dyDescent="0.3">
      <c r="F3774" s="29"/>
      <c r="G3774" s="29"/>
      <c r="H3774" s="28"/>
      <c r="I3774" s="29"/>
    </row>
    <row r="3775" spans="6:9" x14ac:dyDescent="0.3">
      <c r="F3775" s="29"/>
      <c r="G3775" s="29"/>
      <c r="H3775" s="28"/>
      <c r="I3775" s="29"/>
    </row>
    <row r="3776" spans="6:9" x14ac:dyDescent="0.3">
      <c r="F3776" s="29"/>
      <c r="G3776" s="29"/>
      <c r="H3776" s="28"/>
      <c r="I3776" s="29"/>
    </row>
    <row r="3777" spans="6:9" x14ac:dyDescent="0.3">
      <c r="F3777" s="29"/>
      <c r="G3777" s="29"/>
      <c r="H3777" s="28"/>
      <c r="I3777" s="29"/>
    </row>
    <row r="3778" spans="6:9" x14ac:dyDescent="0.3">
      <c r="F3778" s="29"/>
      <c r="G3778" s="29"/>
      <c r="H3778" s="28"/>
      <c r="I3778" s="29"/>
    </row>
    <row r="3779" spans="6:9" x14ac:dyDescent="0.3">
      <c r="F3779" s="29"/>
      <c r="G3779" s="29"/>
      <c r="H3779" s="28"/>
      <c r="I3779" s="29"/>
    </row>
    <row r="3780" spans="6:9" x14ac:dyDescent="0.3">
      <c r="F3780" s="29"/>
      <c r="G3780" s="29"/>
      <c r="H3780" s="28"/>
      <c r="I3780" s="29"/>
    </row>
    <row r="3781" spans="6:9" x14ac:dyDescent="0.3">
      <c r="F3781" s="29"/>
      <c r="G3781" s="29"/>
      <c r="H3781" s="28"/>
      <c r="I3781" s="29"/>
    </row>
    <row r="3782" spans="6:9" x14ac:dyDescent="0.3">
      <c r="F3782" s="29"/>
      <c r="G3782" s="29"/>
      <c r="H3782" s="28"/>
      <c r="I3782" s="29"/>
    </row>
    <row r="3783" spans="6:9" x14ac:dyDescent="0.3">
      <c r="F3783" s="29"/>
      <c r="G3783" s="29"/>
      <c r="H3783" s="28"/>
      <c r="I3783" s="29"/>
    </row>
    <row r="3784" spans="6:9" x14ac:dyDescent="0.3">
      <c r="F3784" s="29"/>
      <c r="G3784" s="29"/>
      <c r="H3784" s="28"/>
      <c r="I3784" s="29"/>
    </row>
    <row r="3785" spans="6:9" x14ac:dyDescent="0.3">
      <c r="F3785" s="29"/>
      <c r="G3785" s="29"/>
      <c r="H3785" s="28"/>
      <c r="I3785" s="29"/>
    </row>
    <row r="3786" spans="6:9" x14ac:dyDescent="0.3">
      <c r="F3786" s="29"/>
      <c r="G3786" s="29"/>
      <c r="H3786" s="28"/>
      <c r="I3786" s="29"/>
    </row>
    <row r="3787" spans="6:9" x14ac:dyDescent="0.3">
      <c r="F3787" s="29"/>
      <c r="G3787" s="29"/>
      <c r="H3787" s="28"/>
      <c r="I3787" s="29"/>
    </row>
    <row r="3788" spans="6:9" x14ac:dyDescent="0.3">
      <c r="F3788" s="29"/>
      <c r="G3788" s="29"/>
      <c r="H3788" s="28"/>
      <c r="I3788" s="29"/>
    </row>
    <row r="3789" spans="6:9" x14ac:dyDescent="0.3">
      <c r="F3789" s="29"/>
      <c r="G3789" s="29"/>
      <c r="H3789" s="28"/>
      <c r="I3789" s="29"/>
    </row>
    <row r="3790" spans="6:9" x14ac:dyDescent="0.3">
      <c r="F3790" s="29"/>
      <c r="G3790" s="29"/>
      <c r="H3790" s="28"/>
      <c r="I3790" s="29"/>
    </row>
    <row r="3791" spans="6:9" x14ac:dyDescent="0.3">
      <c r="F3791" s="29"/>
      <c r="G3791" s="29"/>
      <c r="H3791" s="28"/>
      <c r="I3791" s="29"/>
    </row>
    <row r="3792" spans="6:9" x14ac:dyDescent="0.3">
      <c r="F3792" s="29"/>
      <c r="G3792" s="29"/>
      <c r="H3792" s="28"/>
      <c r="I3792" s="29"/>
    </row>
    <row r="3793" spans="6:9" x14ac:dyDescent="0.3">
      <c r="F3793" s="29"/>
      <c r="G3793" s="29"/>
      <c r="H3793" s="28"/>
      <c r="I3793" s="29"/>
    </row>
    <row r="3794" spans="6:9" x14ac:dyDescent="0.3">
      <c r="F3794" s="29"/>
      <c r="G3794" s="29"/>
      <c r="H3794" s="28"/>
      <c r="I3794" s="29"/>
    </row>
    <row r="3795" spans="6:9" x14ac:dyDescent="0.3">
      <c r="F3795" s="29"/>
      <c r="G3795" s="29"/>
      <c r="H3795" s="28"/>
      <c r="I3795" s="29"/>
    </row>
    <row r="3796" spans="6:9" x14ac:dyDescent="0.3">
      <c r="F3796" s="29"/>
      <c r="G3796" s="29"/>
      <c r="H3796" s="28"/>
      <c r="I3796" s="29"/>
    </row>
    <row r="3797" spans="6:9" x14ac:dyDescent="0.3">
      <c r="F3797" s="29"/>
      <c r="G3797" s="29"/>
      <c r="H3797" s="28"/>
      <c r="I3797" s="29"/>
    </row>
    <row r="3798" spans="6:9" x14ac:dyDescent="0.3">
      <c r="F3798" s="29"/>
      <c r="G3798" s="29"/>
      <c r="H3798" s="28"/>
      <c r="I3798" s="29"/>
    </row>
    <row r="3799" spans="6:9" x14ac:dyDescent="0.3">
      <c r="F3799" s="29"/>
      <c r="G3799" s="29"/>
      <c r="H3799" s="28"/>
      <c r="I3799" s="29"/>
    </row>
    <row r="3800" spans="6:9" x14ac:dyDescent="0.3">
      <c r="F3800" s="29"/>
      <c r="G3800" s="29"/>
      <c r="H3800" s="28"/>
      <c r="I3800" s="29"/>
    </row>
    <row r="3801" spans="6:9" x14ac:dyDescent="0.3">
      <c r="F3801" s="29"/>
      <c r="G3801" s="29"/>
      <c r="H3801" s="28"/>
      <c r="I3801" s="29"/>
    </row>
    <row r="3802" spans="6:9" x14ac:dyDescent="0.3">
      <c r="F3802" s="29"/>
      <c r="G3802" s="29"/>
      <c r="H3802" s="28"/>
      <c r="I3802" s="29"/>
    </row>
    <row r="3803" spans="6:9" x14ac:dyDescent="0.3">
      <c r="F3803" s="29"/>
      <c r="G3803" s="29"/>
      <c r="H3803" s="28"/>
      <c r="I3803" s="29"/>
    </row>
    <row r="3804" spans="6:9" x14ac:dyDescent="0.3">
      <c r="F3804" s="29"/>
      <c r="G3804" s="29"/>
      <c r="H3804" s="28"/>
      <c r="I3804" s="29"/>
    </row>
    <row r="3805" spans="6:9" x14ac:dyDescent="0.3">
      <c r="F3805" s="29"/>
      <c r="G3805" s="29"/>
      <c r="H3805" s="28"/>
      <c r="I3805" s="29"/>
    </row>
    <row r="3806" spans="6:9" x14ac:dyDescent="0.3">
      <c r="F3806" s="29"/>
      <c r="G3806" s="29"/>
      <c r="H3806" s="28"/>
      <c r="I3806" s="29"/>
    </row>
    <row r="3807" spans="6:9" x14ac:dyDescent="0.3">
      <c r="F3807" s="29"/>
      <c r="G3807" s="29"/>
      <c r="H3807" s="28"/>
      <c r="I3807" s="29"/>
    </row>
    <row r="3808" spans="6:9" x14ac:dyDescent="0.3">
      <c r="F3808" s="29"/>
      <c r="G3808" s="29"/>
      <c r="H3808" s="28"/>
      <c r="I3808" s="29"/>
    </row>
    <row r="3809" spans="6:9" x14ac:dyDescent="0.3">
      <c r="F3809" s="29"/>
      <c r="G3809" s="29"/>
      <c r="H3809" s="28"/>
      <c r="I3809" s="29"/>
    </row>
    <row r="3810" spans="6:9" x14ac:dyDescent="0.3">
      <c r="F3810" s="29"/>
      <c r="G3810" s="29"/>
      <c r="H3810" s="28"/>
      <c r="I3810" s="29"/>
    </row>
    <row r="3811" spans="6:9" x14ac:dyDescent="0.3">
      <c r="F3811" s="29"/>
      <c r="G3811" s="29"/>
      <c r="H3811" s="28"/>
      <c r="I3811" s="29"/>
    </row>
    <row r="3812" spans="6:9" x14ac:dyDescent="0.3">
      <c r="F3812" s="29"/>
      <c r="G3812" s="29"/>
      <c r="H3812" s="28"/>
      <c r="I3812" s="29"/>
    </row>
    <row r="3813" spans="6:9" x14ac:dyDescent="0.3">
      <c r="F3813" s="29"/>
      <c r="G3813" s="29"/>
      <c r="H3813" s="28"/>
      <c r="I3813" s="29"/>
    </row>
    <row r="3814" spans="6:9" x14ac:dyDescent="0.3">
      <c r="F3814" s="29"/>
      <c r="G3814" s="29"/>
      <c r="H3814" s="28"/>
      <c r="I3814" s="29"/>
    </row>
    <row r="3815" spans="6:9" x14ac:dyDescent="0.3">
      <c r="F3815" s="29"/>
      <c r="G3815" s="29"/>
      <c r="H3815" s="28"/>
      <c r="I3815" s="29"/>
    </row>
    <row r="3816" spans="6:9" x14ac:dyDescent="0.3">
      <c r="F3816" s="29"/>
      <c r="G3816" s="29"/>
      <c r="H3816" s="28"/>
      <c r="I3816" s="29"/>
    </row>
    <row r="3817" spans="6:9" x14ac:dyDescent="0.3">
      <c r="F3817" s="29"/>
      <c r="G3817" s="29"/>
      <c r="H3817" s="28"/>
      <c r="I3817" s="29"/>
    </row>
    <row r="3818" spans="6:9" x14ac:dyDescent="0.3">
      <c r="F3818" s="29"/>
      <c r="G3818" s="29"/>
      <c r="H3818" s="28"/>
      <c r="I3818" s="29"/>
    </row>
    <row r="3819" spans="6:9" x14ac:dyDescent="0.3">
      <c r="F3819" s="29"/>
      <c r="G3819" s="29"/>
      <c r="H3819" s="28"/>
      <c r="I3819" s="29"/>
    </row>
    <row r="3820" spans="6:9" x14ac:dyDescent="0.3">
      <c r="F3820" s="29"/>
      <c r="G3820" s="29"/>
      <c r="H3820" s="28"/>
      <c r="I3820" s="29"/>
    </row>
    <row r="3821" spans="6:9" x14ac:dyDescent="0.3">
      <c r="F3821" s="29"/>
      <c r="G3821" s="29"/>
      <c r="H3821" s="28"/>
      <c r="I3821" s="29"/>
    </row>
    <row r="3822" spans="6:9" x14ac:dyDescent="0.3">
      <c r="F3822" s="29"/>
      <c r="G3822" s="29"/>
      <c r="H3822" s="28"/>
      <c r="I3822" s="29"/>
    </row>
    <row r="3823" spans="6:9" x14ac:dyDescent="0.3">
      <c r="F3823" s="29"/>
      <c r="G3823" s="29"/>
      <c r="H3823" s="28"/>
      <c r="I3823" s="29"/>
    </row>
    <row r="3824" spans="6:9" x14ac:dyDescent="0.3">
      <c r="F3824" s="29"/>
      <c r="G3824" s="29"/>
      <c r="H3824" s="28"/>
      <c r="I3824" s="29"/>
    </row>
    <row r="3825" spans="6:9" x14ac:dyDescent="0.3">
      <c r="F3825" s="29"/>
      <c r="G3825" s="29"/>
      <c r="H3825" s="28"/>
      <c r="I3825" s="29"/>
    </row>
    <row r="3826" spans="6:9" x14ac:dyDescent="0.3">
      <c r="F3826" s="29"/>
      <c r="G3826" s="29"/>
      <c r="H3826" s="28"/>
      <c r="I3826" s="29"/>
    </row>
    <row r="3827" spans="6:9" x14ac:dyDescent="0.3">
      <c r="F3827" s="29"/>
      <c r="G3827" s="29"/>
      <c r="H3827" s="28"/>
      <c r="I3827" s="29"/>
    </row>
    <row r="3828" spans="6:9" x14ac:dyDescent="0.3">
      <c r="F3828" s="29"/>
      <c r="G3828" s="29"/>
      <c r="H3828" s="28"/>
      <c r="I3828" s="29"/>
    </row>
    <row r="3829" spans="6:9" x14ac:dyDescent="0.3">
      <c r="F3829" s="29"/>
      <c r="G3829" s="29"/>
      <c r="H3829" s="28"/>
      <c r="I3829" s="29"/>
    </row>
    <row r="3830" spans="6:9" x14ac:dyDescent="0.3">
      <c r="F3830" s="29"/>
      <c r="G3830" s="29"/>
      <c r="H3830" s="28"/>
      <c r="I3830" s="29"/>
    </row>
    <row r="3831" spans="6:9" x14ac:dyDescent="0.3">
      <c r="F3831" s="29"/>
      <c r="G3831" s="29"/>
      <c r="H3831" s="28"/>
      <c r="I3831" s="29"/>
    </row>
    <row r="3832" spans="6:9" x14ac:dyDescent="0.3">
      <c r="F3832" s="29"/>
      <c r="G3832" s="29"/>
      <c r="H3832" s="28"/>
      <c r="I3832" s="29"/>
    </row>
    <row r="3833" spans="6:9" x14ac:dyDescent="0.3">
      <c r="F3833" s="29"/>
      <c r="G3833" s="29"/>
      <c r="H3833" s="28"/>
      <c r="I3833" s="29"/>
    </row>
    <row r="3834" spans="6:9" x14ac:dyDescent="0.3">
      <c r="F3834" s="29"/>
      <c r="G3834" s="29"/>
      <c r="H3834" s="28"/>
      <c r="I3834" s="29"/>
    </row>
    <row r="3835" spans="6:9" x14ac:dyDescent="0.3">
      <c r="F3835" s="29"/>
      <c r="G3835" s="29"/>
      <c r="H3835" s="28"/>
      <c r="I3835" s="29"/>
    </row>
    <row r="3836" spans="6:9" x14ac:dyDescent="0.3">
      <c r="F3836" s="29"/>
      <c r="G3836" s="29"/>
      <c r="H3836" s="28"/>
      <c r="I3836" s="29"/>
    </row>
    <row r="3837" spans="6:9" x14ac:dyDescent="0.3">
      <c r="F3837" s="29"/>
      <c r="G3837" s="29"/>
      <c r="H3837" s="28"/>
      <c r="I3837" s="29"/>
    </row>
    <row r="3838" spans="6:9" x14ac:dyDescent="0.3">
      <c r="F3838" s="29"/>
      <c r="G3838" s="29"/>
      <c r="H3838" s="28"/>
      <c r="I3838" s="29"/>
    </row>
    <row r="3839" spans="6:9" x14ac:dyDescent="0.3">
      <c r="F3839" s="29"/>
      <c r="G3839" s="29"/>
      <c r="H3839" s="28"/>
      <c r="I3839" s="29"/>
    </row>
    <row r="3840" spans="6:9" x14ac:dyDescent="0.3">
      <c r="F3840" s="29"/>
      <c r="G3840" s="29"/>
      <c r="H3840" s="28"/>
      <c r="I3840" s="29"/>
    </row>
    <row r="3841" spans="6:9" x14ac:dyDescent="0.3">
      <c r="F3841" s="29"/>
      <c r="G3841" s="29"/>
      <c r="H3841" s="28"/>
      <c r="I3841" s="29"/>
    </row>
    <row r="3842" spans="6:9" x14ac:dyDescent="0.3">
      <c r="F3842" s="29"/>
      <c r="G3842" s="29"/>
      <c r="H3842" s="28"/>
      <c r="I3842" s="29"/>
    </row>
    <row r="3843" spans="6:9" x14ac:dyDescent="0.3">
      <c r="F3843" s="29"/>
      <c r="G3843" s="29"/>
      <c r="H3843" s="28"/>
      <c r="I3843" s="29"/>
    </row>
    <row r="3844" spans="6:9" x14ac:dyDescent="0.3">
      <c r="F3844" s="29"/>
      <c r="G3844" s="29"/>
      <c r="H3844" s="28"/>
      <c r="I3844" s="29"/>
    </row>
    <row r="3845" spans="6:9" x14ac:dyDescent="0.3">
      <c r="F3845" s="29"/>
      <c r="G3845" s="29"/>
      <c r="H3845" s="28"/>
      <c r="I3845" s="29"/>
    </row>
    <row r="3846" spans="6:9" x14ac:dyDescent="0.3">
      <c r="F3846" s="29"/>
      <c r="G3846" s="29"/>
      <c r="H3846" s="28"/>
      <c r="I3846" s="29"/>
    </row>
    <row r="3847" spans="6:9" x14ac:dyDescent="0.3">
      <c r="F3847" s="29"/>
      <c r="G3847" s="29"/>
      <c r="H3847" s="28"/>
      <c r="I3847" s="29"/>
    </row>
    <row r="3848" spans="6:9" x14ac:dyDescent="0.3">
      <c r="F3848" s="29"/>
      <c r="G3848" s="29"/>
      <c r="H3848" s="28"/>
      <c r="I3848" s="29"/>
    </row>
    <row r="3849" spans="6:9" x14ac:dyDescent="0.3">
      <c r="F3849" s="29"/>
      <c r="G3849" s="29"/>
      <c r="H3849" s="28"/>
      <c r="I3849" s="29"/>
    </row>
    <row r="3850" spans="6:9" x14ac:dyDescent="0.3">
      <c r="F3850" s="29"/>
      <c r="G3850" s="29"/>
      <c r="H3850" s="28"/>
      <c r="I3850" s="29"/>
    </row>
    <row r="3851" spans="6:9" x14ac:dyDescent="0.3">
      <c r="F3851" s="29"/>
      <c r="G3851" s="29"/>
      <c r="H3851" s="28"/>
      <c r="I3851" s="29"/>
    </row>
    <row r="3852" spans="6:9" x14ac:dyDescent="0.3">
      <c r="F3852" s="29"/>
      <c r="G3852" s="29"/>
      <c r="H3852" s="28"/>
      <c r="I3852" s="29"/>
    </row>
    <row r="3853" spans="6:9" x14ac:dyDescent="0.3">
      <c r="F3853" s="29"/>
      <c r="G3853" s="29"/>
      <c r="H3853" s="28"/>
      <c r="I3853" s="29"/>
    </row>
    <row r="3854" spans="6:9" x14ac:dyDescent="0.3">
      <c r="F3854" s="29"/>
      <c r="G3854" s="29"/>
      <c r="H3854" s="28"/>
      <c r="I3854" s="29"/>
    </row>
    <row r="3855" spans="6:9" x14ac:dyDescent="0.3">
      <c r="F3855" s="29"/>
      <c r="G3855" s="29"/>
      <c r="H3855" s="28"/>
      <c r="I3855" s="29"/>
    </row>
    <row r="3856" spans="6:9" x14ac:dyDescent="0.3">
      <c r="F3856" s="29"/>
      <c r="G3856" s="29"/>
      <c r="H3856" s="28"/>
      <c r="I3856" s="29"/>
    </row>
    <row r="3857" spans="6:9" x14ac:dyDescent="0.3">
      <c r="F3857" s="29"/>
      <c r="G3857" s="29"/>
      <c r="H3857" s="28"/>
      <c r="I3857" s="29"/>
    </row>
    <row r="3858" spans="6:9" x14ac:dyDescent="0.3">
      <c r="F3858" s="29"/>
      <c r="G3858" s="29"/>
      <c r="H3858" s="28"/>
      <c r="I3858" s="29"/>
    </row>
    <row r="3859" spans="6:9" x14ac:dyDescent="0.3">
      <c r="F3859" s="29"/>
      <c r="G3859" s="29"/>
      <c r="H3859" s="28"/>
      <c r="I3859" s="29"/>
    </row>
    <row r="3860" spans="6:9" x14ac:dyDescent="0.3">
      <c r="F3860" s="29"/>
      <c r="G3860" s="29"/>
      <c r="H3860" s="28"/>
      <c r="I3860" s="29"/>
    </row>
    <row r="3861" spans="6:9" x14ac:dyDescent="0.3">
      <c r="F3861" s="29"/>
      <c r="G3861" s="29"/>
      <c r="H3861" s="28"/>
      <c r="I3861" s="29"/>
    </row>
    <row r="3862" spans="6:9" x14ac:dyDescent="0.3">
      <c r="F3862" s="29"/>
      <c r="G3862" s="29"/>
      <c r="H3862" s="28"/>
      <c r="I3862" s="29"/>
    </row>
    <row r="3863" spans="6:9" x14ac:dyDescent="0.3">
      <c r="F3863" s="29"/>
      <c r="G3863" s="29"/>
      <c r="H3863" s="28"/>
      <c r="I3863" s="29"/>
    </row>
    <row r="3864" spans="6:9" x14ac:dyDescent="0.3">
      <c r="F3864" s="29"/>
      <c r="G3864" s="29"/>
      <c r="H3864" s="28"/>
      <c r="I3864" s="29"/>
    </row>
    <row r="3865" spans="6:9" x14ac:dyDescent="0.3">
      <c r="F3865" s="29"/>
      <c r="G3865" s="29"/>
      <c r="H3865" s="28"/>
      <c r="I3865" s="29"/>
    </row>
    <row r="3866" spans="6:9" x14ac:dyDescent="0.3">
      <c r="F3866" s="29"/>
      <c r="G3866" s="29"/>
      <c r="H3866" s="28"/>
      <c r="I3866" s="29"/>
    </row>
    <row r="3867" spans="6:9" x14ac:dyDescent="0.3">
      <c r="F3867" s="29"/>
      <c r="G3867" s="29"/>
      <c r="H3867" s="28"/>
      <c r="I3867" s="29"/>
    </row>
    <row r="3868" spans="6:9" x14ac:dyDescent="0.3">
      <c r="F3868" s="29"/>
      <c r="G3868" s="29"/>
      <c r="H3868" s="28"/>
      <c r="I3868" s="29"/>
    </row>
    <row r="3869" spans="6:9" x14ac:dyDescent="0.3">
      <c r="F3869" s="29"/>
      <c r="G3869" s="29"/>
      <c r="H3869" s="28"/>
      <c r="I3869" s="29"/>
    </row>
    <row r="3870" spans="6:9" x14ac:dyDescent="0.3">
      <c r="F3870" s="29"/>
      <c r="G3870" s="29"/>
      <c r="H3870" s="28"/>
      <c r="I3870" s="29"/>
    </row>
    <row r="3871" spans="6:9" x14ac:dyDescent="0.3">
      <c r="F3871" s="29"/>
      <c r="G3871" s="29"/>
      <c r="H3871" s="28"/>
      <c r="I3871" s="29"/>
    </row>
    <row r="3872" spans="6:9" x14ac:dyDescent="0.3">
      <c r="F3872" s="29"/>
      <c r="G3872" s="29"/>
      <c r="H3872" s="28"/>
      <c r="I3872" s="29"/>
    </row>
    <row r="3873" spans="6:9" x14ac:dyDescent="0.3">
      <c r="F3873" s="29"/>
      <c r="G3873" s="29"/>
      <c r="H3873" s="28"/>
      <c r="I3873" s="29"/>
    </row>
    <row r="3874" spans="6:9" x14ac:dyDescent="0.3">
      <c r="F3874" s="29"/>
      <c r="G3874" s="29"/>
      <c r="H3874" s="28"/>
      <c r="I3874" s="29"/>
    </row>
    <row r="3875" spans="6:9" x14ac:dyDescent="0.3">
      <c r="F3875" s="29"/>
      <c r="G3875" s="29"/>
      <c r="H3875" s="28"/>
      <c r="I3875" s="29"/>
    </row>
    <row r="3876" spans="6:9" x14ac:dyDescent="0.3">
      <c r="F3876" s="29"/>
      <c r="G3876" s="29"/>
      <c r="H3876" s="28"/>
      <c r="I3876" s="29"/>
    </row>
    <row r="3877" spans="6:9" x14ac:dyDescent="0.3">
      <c r="F3877" s="29"/>
      <c r="G3877" s="29"/>
      <c r="H3877" s="28"/>
      <c r="I3877" s="29"/>
    </row>
    <row r="3878" spans="6:9" x14ac:dyDescent="0.3">
      <c r="F3878" s="29"/>
      <c r="G3878" s="29"/>
      <c r="H3878" s="28"/>
      <c r="I3878" s="29"/>
    </row>
    <row r="3879" spans="6:9" x14ac:dyDescent="0.3">
      <c r="F3879" s="29"/>
      <c r="G3879" s="29"/>
      <c r="H3879" s="28"/>
      <c r="I3879" s="29"/>
    </row>
    <row r="3880" spans="6:9" x14ac:dyDescent="0.3">
      <c r="F3880" s="29"/>
      <c r="G3880" s="29"/>
      <c r="H3880" s="28"/>
      <c r="I3880" s="29"/>
    </row>
    <row r="3881" spans="6:9" x14ac:dyDescent="0.3">
      <c r="F3881" s="29"/>
      <c r="G3881" s="29"/>
      <c r="H3881" s="28"/>
      <c r="I3881" s="29"/>
    </row>
    <row r="3882" spans="6:9" x14ac:dyDescent="0.3">
      <c r="F3882" s="29"/>
      <c r="G3882" s="29"/>
      <c r="H3882" s="28"/>
      <c r="I3882" s="29"/>
    </row>
    <row r="3883" spans="6:9" x14ac:dyDescent="0.3">
      <c r="F3883" s="29"/>
      <c r="G3883" s="29"/>
      <c r="H3883" s="28"/>
      <c r="I3883" s="29"/>
    </row>
    <row r="3884" spans="6:9" x14ac:dyDescent="0.3">
      <c r="F3884" s="29"/>
      <c r="G3884" s="29"/>
      <c r="H3884" s="28"/>
      <c r="I3884" s="29"/>
    </row>
    <row r="3885" spans="6:9" x14ac:dyDescent="0.3">
      <c r="F3885" s="29"/>
      <c r="G3885" s="29"/>
      <c r="H3885" s="28"/>
      <c r="I3885" s="29"/>
    </row>
    <row r="3886" spans="6:9" x14ac:dyDescent="0.3">
      <c r="F3886" s="29"/>
      <c r="G3886" s="29"/>
      <c r="H3886" s="28"/>
      <c r="I3886" s="29"/>
    </row>
    <row r="3887" spans="6:9" x14ac:dyDescent="0.3">
      <c r="F3887" s="29"/>
      <c r="G3887" s="29"/>
      <c r="H3887" s="28"/>
      <c r="I3887" s="29"/>
    </row>
    <row r="3888" spans="6:9" x14ac:dyDescent="0.3">
      <c r="F3888" s="29"/>
      <c r="G3888" s="29"/>
      <c r="H3888" s="28"/>
      <c r="I3888" s="29"/>
    </row>
    <row r="3889" spans="6:9" x14ac:dyDescent="0.3">
      <c r="F3889" s="29"/>
      <c r="G3889" s="29"/>
      <c r="H3889" s="28"/>
      <c r="I3889" s="29"/>
    </row>
    <row r="3890" spans="6:9" x14ac:dyDescent="0.3">
      <c r="F3890" s="29"/>
      <c r="G3890" s="29"/>
      <c r="H3890" s="28"/>
      <c r="I3890" s="29"/>
    </row>
    <row r="3891" spans="6:9" x14ac:dyDescent="0.3">
      <c r="F3891" s="29"/>
      <c r="G3891" s="29"/>
      <c r="H3891" s="28"/>
      <c r="I3891" s="29"/>
    </row>
    <row r="3892" spans="6:9" x14ac:dyDescent="0.3">
      <c r="F3892" s="29"/>
      <c r="G3892" s="29"/>
      <c r="H3892" s="28"/>
      <c r="I3892" s="29"/>
    </row>
    <row r="3893" spans="6:9" x14ac:dyDescent="0.3">
      <c r="F3893" s="29"/>
      <c r="G3893" s="29"/>
      <c r="H3893" s="28"/>
      <c r="I3893" s="29"/>
    </row>
    <row r="3894" spans="6:9" x14ac:dyDescent="0.3">
      <c r="F3894" s="29"/>
      <c r="G3894" s="29"/>
      <c r="H3894" s="28"/>
      <c r="I3894" s="29"/>
    </row>
    <row r="3895" spans="6:9" x14ac:dyDescent="0.3">
      <c r="F3895" s="29"/>
      <c r="G3895" s="29"/>
      <c r="H3895" s="28"/>
      <c r="I3895" s="29"/>
    </row>
    <row r="3896" spans="6:9" x14ac:dyDescent="0.3">
      <c r="F3896" s="29"/>
      <c r="G3896" s="29"/>
      <c r="H3896" s="28"/>
      <c r="I3896" s="29"/>
    </row>
    <row r="3897" spans="6:9" x14ac:dyDescent="0.3">
      <c r="F3897" s="29"/>
      <c r="G3897" s="29"/>
      <c r="H3897" s="28"/>
      <c r="I3897" s="29"/>
    </row>
    <row r="3898" spans="6:9" x14ac:dyDescent="0.3">
      <c r="F3898" s="29"/>
      <c r="G3898" s="29"/>
      <c r="H3898" s="28"/>
      <c r="I3898" s="29"/>
    </row>
    <row r="3899" spans="6:9" x14ac:dyDescent="0.3">
      <c r="F3899" s="29"/>
      <c r="G3899" s="29"/>
      <c r="H3899" s="28"/>
      <c r="I3899" s="29"/>
    </row>
    <row r="3900" spans="6:9" x14ac:dyDescent="0.3">
      <c r="F3900" s="29"/>
      <c r="G3900" s="29"/>
      <c r="H3900" s="28"/>
      <c r="I3900" s="29"/>
    </row>
    <row r="3901" spans="6:9" x14ac:dyDescent="0.3">
      <c r="F3901" s="29"/>
      <c r="G3901" s="29"/>
      <c r="H3901" s="28"/>
      <c r="I3901" s="29"/>
    </row>
    <row r="3902" spans="6:9" x14ac:dyDescent="0.3">
      <c r="F3902" s="29"/>
      <c r="G3902" s="29"/>
      <c r="H3902" s="28"/>
      <c r="I3902" s="29"/>
    </row>
    <row r="3903" spans="6:9" x14ac:dyDescent="0.3">
      <c r="F3903" s="29"/>
      <c r="G3903" s="29"/>
      <c r="H3903" s="28"/>
      <c r="I3903" s="29"/>
    </row>
    <row r="3904" spans="6:9" x14ac:dyDescent="0.3">
      <c r="F3904" s="29"/>
      <c r="G3904" s="29"/>
      <c r="H3904" s="28"/>
      <c r="I3904" s="29"/>
    </row>
    <row r="3905" spans="6:9" x14ac:dyDescent="0.3">
      <c r="F3905" s="29"/>
      <c r="G3905" s="29"/>
      <c r="H3905" s="28"/>
      <c r="I3905" s="29"/>
    </row>
    <row r="3906" spans="6:9" x14ac:dyDescent="0.3">
      <c r="F3906" s="29"/>
      <c r="G3906" s="29"/>
      <c r="H3906" s="28"/>
      <c r="I3906" s="29"/>
    </row>
    <row r="3907" spans="6:9" x14ac:dyDescent="0.3">
      <c r="F3907" s="29"/>
      <c r="G3907" s="29"/>
      <c r="H3907" s="28"/>
      <c r="I3907" s="29"/>
    </row>
    <row r="3908" spans="6:9" x14ac:dyDescent="0.3">
      <c r="F3908" s="29"/>
      <c r="G3908" s="29"/>
      <c r="H3908" s="28"/>
      <c r="I3908" s="29"/>
    </row>
    <row r="3909" spans="6:9" x14ac:dyDescent="0.3">
      <c r="F3909" s="29"/>
      <c r="G3909" s="29"/>
      <c r="H3909" s="28"/>
      <c r="I3909" s="29"/>
    </row>
    <row r="3910" spans="6:9" x14ac:dyDescent="0.3">
      <c r="F3910" s="29"/>
      <c r="G3910" s="29"/>
      <c r="H3910" s="28"/>
      <c r="I3910" s="29"/>
    </row>
    <row r="3911" spans="6:9" x14ac:dyDescent="0.3">
      <c r="F3911" s="29"/>
      <c r="G3911" s="29"/>
      <c r="H3911" s="28"/>
      <c r="I3911" s="29"/>
    </row>
    <row r="3912" spans="6:9" x14ac:dyDescent="0.3">
      <c r="F3912" s="29"/>
      <c r="G3912" s="29"/>
      <c r="H3912" s="28"/>
      <c r="I3912" s="29"/>
    </row>
    <row r="3913" spans="6:9" x14ac:dyDescent="0.3">
      <c r="F3913" s="29"/>
      <c r="G3913" s="29"/>
      <c r="H3913" s="28"/>
      <c r="I3913" s="29"/>
    </row>
    <row r="3914" spans="6:9" x14ac:dyDescent="0.3">
      <c r="F3914" s="29"/>
      <c r="G3914" s="29"/>
      <c r="H3914" s="28"/>
      <c r="I3914" s="29"/>
    </row>
    <row r="3915" spans="6:9" x14ac:dyDescent="0.3">
      <c r="F3915" s="29"/>
      <c r="G3915" s="29"/>
      <c r="H3915" s="28"/>
      <c r="I3915" s="29"/>
    </row>
    <row r="3916" spans="6:9" x14ac:dyDescent="0.3">
      <c r="F3916" s="29"/>
      <c r="G3916" s="29"/>
      <c r="H3916" s="28"/>
      <c r="I3916" s="29"/>
    </row>
    <row r="3917" spans="6:9" x14ac:dyDescent="0.3">
      <c r="F3917" s="29"/>
      <c r="G3917" s="29"/>
      <c r="H3917" s="28"/>
      <c r="I3917" s="29"/>
    </row>
    <row r="3918" spans="6:9" x14ac:dyDescent="0.3">
      <c r="F3918" s="29"/>
      <c r="G3918" s="29"/>
      <c r="H3918" s="28"/>
      <c r="I3918" s="29"/>
    </row>
    <row r="3919" spans="6:9" x14ac:dyDescent="0.3">
      <c r="F3919" s="29"/>
      <c r="G3919" s="29"/>
      <c r="H3919" s="28"/>
      <c r="I3919" s="29"/>
    </row>
    <row r="3920" spans="6:9" x14ac:dyDescent="0.3">
      <c r="F3920" s="29"/>
      <c r="G3920" s="29"/>
      <c r="H3920" s="28"/>
      <c r="I3920" s="29"/>
    </row>
    <row r="3921" spans="6:9" x14ac:dyDescent="0.3">
      <c r="F3921" s="29"/>
      <c r="G3921" s="29"/>
      <c r="H3921" s="28"/>
      <c r="I3921" s="29"/>
    </row>
    <row r="3922" spans="6:9" x14ac:dyDescent="0.3">
      <c r="F3922" s="29"/>
      <c r="G3922" s="29"/>
      <c r="H3922" s="28"/>
      <c r="I3922" s="29"/>
    </row>
    <row r="3923" spans="6:9" x14ac:dyDescent="0.3">
      <c r="F3923" s="29"/>
      <c r="G3923" s="29"/>
      <c r="H3923" s="28"/>
      <c r="I3923" s="29"/>
    </row>
    <row r="3924" spans="6:9" x14ac:dyDescent="0.3">
      <c r="F3924" s="29"/>
      <c r="G3924" s="29"/>
      <c r="H3924" s="28"/>
      <c r="I3924" s="29"/>
    </row>
    <row r="3925" spans="6:9" x14ac:dyDescent="0.3">
      <c r="F3925" s="29"/>
      <c r="G3925" s="29"/>
      <c r="H3925" s="28"/>
      <c r="I3925" s="29"/>
    </row>
    <row r="3926" spans="6:9" x14ac:dyDescent="0.3">
      <c r="F3926" s="29"/>
      <c r="G3926" s="29"/>
      <c r="H3926" s="28"/>
      <c r="I3926" s="29"/>
    </row>
    <row r="3927" spans="6:9" x14ac:dyDescent="0.3">
      <c r="F3927" s="29"/>
      <c r="G3927" s="29"/>
      <c r="H3927" s="28"/>
      <c r="I3927" s="29"/>
    </row>
    <row r="3928" spans="6:9" x14ac:dyDescent="0.3">
      <c r="F3928" s="29"/>
      <c r="G3928" s="29"/>
      <c r="H3928" s="28"/>
      <c r="I3928" s="29"/>
    </row>
    <row r="3929" spans="6:9" x14ac:dyDescent="0.3">
      <c r="F3929" s="29"/>
      <c r="G3929" s="29"/>
      <c r="H3929" s="28"/>
      <c r="I3929" s="29"/>
    </row>
    <row r="3930" spans="6:9" x14ac:dyDescent="0.3">
      <c r="F3930" s="29"/>
      <c r="G3930" s="29"/>
      <c r="H3930" s="28"/>
      <c r="I3930" s="29"/>
    </row>
    <row r="3931" spans="6:9" x14ac:dyDescent="0.3">
      <c r="F3931" s="29"/>
      <c r="G3931" s="29"/>
      <c r="H3931" s="28"/>
      <c r="I3931" s="29"/>
    </row>
    <row r="3932" spans="6:9" x14ac:dyDescent="0.3">
      <c r="F3932" s="29"/>
      <c r="G3932" s="29"/>
      <c r="H3932" s="28"/>
      <c r="I3932" s="29"/>
    </row>
    <row r="3933" spans="6:9" x14ac:dyDescent="0.3">
      <c r="F3933" s="29"/>
      <c r="G3933" s="29"/>
      <c r="H3933" s="28"/>
      <c r="I3933" s="29"/>
    </row>
    <row r="3934" spans="6:9" x14ac:dyDescent="0.3">
      <c r="F3934" s="29"/>
      <c r="G3934" s="29"/>
      <c r="H3934" s="28"/>
      <c r="I3934" s="29"/>
    </row>
    <row r="3935" spans="6:9" x14ac:dyDescent="0.3">
      <c r="F3935" s="29"/>
      <c r="G3935" s="29"/>
      <c r="H3935" s="28"/>
      <c r="I3935" s="29"/>
    </row>
    <row r="3936" spans="6:9" x14ac:dyDescent="0.3">
      <c r="F3936" s="29"/>
      <c r="G3936" s="29"/>
      <c r="H3936" s="28"/>
      <c r="I3936" s="29"/>
    </row>
    <row r="3937" spans="6:9" x14ac:dyDescent="0.3">
      <c r="F3937" s="29"/>
      <c r="G3937" s="29"/>
      <c r="H3937" s="28"/>
      <c r="I3937" s="29"/>
    </row>
    <row r="3938" spans="6:9" x14ac:dyDescent="0.3">
      <c r="F3938" s="29"/>
      <c r="G3938" s="29"/>
      <c r="H3938" s="28"/>
      <c r="I3938" s="29"/>
    </row>
    <row r="3939" spans="6:9" x14ac:dyDescent="0.3">
      <c r="F3939" s="29"/>
      <c r="G3939" s="29"/>
      <c r="H3939" s="28"/>
      <c r="I3939" s="29"/>
    </row>
    <row r="3940" spans="6:9" x14ac:dyDescent="0.3">
      <c r="F3940" s="29"/>
      <c r="G3940" s="29"/>
      <c r="H3940" s="28"/>
      <c r="I3940" s="29"/>
    </row>
    <row r="3941" spans="6:9" x14ac:dyDescent="0.3">
      <c r="F3941" s="29"/>
      <c r="G3941" s="29"/>
      <c r="H3941" s="28"/>
      <c r="I3941" s="29"/>
    </row>
    <row r="3942" spans="6:9" x14ac:dyDescent="0.3">
      <c r="F3942" s="29"/>
      <c r="G3942" s="29"/>
      <c r="H3942" s="28"/>
      <c r="I3942" s="29"/>
    </row>
    <row r="3943" spans="6:9" x14ac:dyDescent="0.3">
      <c r="F3943" s="29"/>
      <c r="G3943" s="29"/>
      <c r="H3943" s="28"/>
      <c r="I3943" s="29"/>
    </row>
    <row r="3944" spans="6:9" x14ac:dyDescent="0.3">
      <c r="F3944" s="29"/>
      <c r="G3944" s="29"/>
      <c r="H3944" s="28"/>
      <c r="I3944" s="29"/>
    </row>
    <row r="3945" spans="6:9" x14ac:dyDescent="0.3">
      <c r="F3945" s="29"/>
      <c r="G3945" s="29"/>
      <c r="H3945" s="28"/>
      <c r="I3945" s="29"/>
    </row>
    <row r="3946" spans="6:9" x14ac:dyDescent="0.3">
      <c r="F3946" s="29"/>
      <c r="G3946" s="29"/>
      <c r="H3946" s="28"/>
      <c r="I3946" s="29"/>
    </row>
    <row r="3947" spans="6:9" x14ac:dyDescent="0.3">
      <c r="F3947" s="29"/>
      <c r="G3947" s="29"/>
      <c r="H3947" s="28"/>
      <c r="I3947" s="29"/>
    </row>
    <row r="3948" spans="6:9" x14ac:dyDescent="0.3">
      <c r="F3948" s="29"/>
      <c r="G3948" s="29"/>
      <c r="H3948" s="28"/>
      <c r="I3948" s="29"/>
    </row>
    <row r="3949" spans="6:9" x14ac:dyDescent="0.3">
      <c r="F3949" s="29"/>
      <c r="G3949" s="29"/>
      <c r="H3949" s="28"/>
      <c r="I3949" s="29"/>
    </row>
    <row r="3950" spans="6:9" x14ac:dyDescent="0.3">
      <c r="F3950" s="29"/>
      <c r="G3950" s="29"/>
      <c r="H3950" s="28"/>
      <c r="I3950" s="29"/>
    </row>
    <row r="3951" spans="6:9" x14ac:dyDescent="0.3">
      <c r="F3951" s="29"/>
      <c r="G3951" s="29"/>
      <c r="H3951" s="28"/>
      <c r="I3951" s="29"/>
    </row>
    <row r="3952" spans="6:9" x14ac:dyDescent="0.3">
      <c r="F3952" s="29"/>
      <c r="G3952" s="29"/>
      <c r="H3952" s="28"/>
      <c r="I3952" s="29"/>
    </row>
    <row r="3953" spans="6:9" x14ac:dyDescent="0.3">
      <c r="F3953" s="29"/>
      <c r="G3953" s="29"/>
      <c r="H3953" s="28"/>
      <c r="I3953" s="29"/>
    </row>
    <row r="3954" spans="6:9" x14ac:dyDescent="0.3">
      <c r="F3954" s="29"/>
      <c r="G3954" s="29"/>
      <c r="H3954" s="28"/>
      <c r="I3954" s="29"/>
    </row>
    <row r="3955" spans="6:9" x14ac:dyDescent="0.3">
      <c r="F3955" s="29"/>
      <c r="G3955" s="29"/>
      <c r="H3955" s="28"/>
      <c r="I3955" s="29"/>
    </row>
    <row r="3956" spans="6:9" x14ac:dyDescent="0.3">
      <c r="F3956" s="29"/>
      <c r="G3956" s="29"/>
      <c r="H3956" s="28"/>
      <c r="I3956" s="29"/>
    </row>
    <row r="3957" spans="6:9" x14ac:dyDescent="0.3">
      <c r="F3957" s="29"/>
      <c r="G3957" s="29"/>
      <c r="H3957" s="28"/>
      <c r="I3957" s="29"/>
    </row>
    <row r="3958" spans="6:9" x14ac:dyDescent="0.3">
      <c r="F3958" s="29"/>
      <c r="G3958" s="29"/>
      <c r="H3958" s="28"/>
      <c r="I3958" s="29"/>
    </row>
    <row r="3959" spans="6:9" x14ac:dyDescent="0.3">
      <c r="F3959" s="29"/>
      <c r="G3959" s="29"/>
      <c r="H3959" s="28"/>
      <c r="I3959" s="29"/>
    </row>
    <row r="3960" spans="6:9" x14ac:dyDescent="0.3">
      <c r="F3960" s="29"/>
      <c r="G3960" s="29"/>
      <c r="H3960" s="28"/>
      <c r="I3960" s="29"/>
    </row>
    <row r="3961" spans="6:9" x14ac:dyDescent="0.3">
      <c r="F3961" s="29"/>
      <c r="G3961" s="29"/>
      <c r="H3961" s="28"/>
      <c r="I3961" s="29"/>
    </row>
    <row r="3962" spans="6:9" x14ac:dyDescent="0.3">
      <c r="F3962" s="29"/>
      <c r="G3962" s="29"/>
      <c r="H3962" s="28"/>
      <c r="I3962" s="29"/>
    </row>
    <row r="3963" spans="6:9" x14ac:dyDescent="0.3">
      <c r="F3963" s="29"/>
      <c r="G3963" s="29"/>
      <c r="H3963" s="28"/>
      <c r="I3963" s="29"/>
    </row>
    <row r="3964" spans="6:9" x14ac:dyDescent="0.3">
      <c r="F3964" s="29"/>
      <c r="G3964" s="29"/>
      <c r="H3964" s="28"/>
      <c r="I3964" s="29"/>
    </row>
    <row r="3965" spans="6:9" x14ac:dyDescent="0.3">
      <c r="F3965" s="29"/>
      <c r="G3965" s="29"/>
      <c r="H3965" s="28"/>
      <c r="I3965" s="29"/>
    </row>
    <row r="3966" spans="6:9" x14ac:dyDescent="0.3">
      <c r="F3966" s="29"/>
      <c r="G3966" s="29"/>
      <c r="H3966" s="28"/>
      <c r="I3966" s="29"/>
    </row>
    <row r="3967" spans="6:9" x14ac:dyDescent="0.3">
      <c r="F3967" s="29"/>
      <c r="G3967" s="29"/>
      <c r="H3967" s="28"/>
      <c r="I3967" s="29"/>
    </row>
    <row r="3968" spans="6:9" x14ac:dyDescent="0.3">
      <c r="F3968" s="29"/>
      <c r="G3968" s="29"/>
      <c r="H3968" s="28"/>
      <c r="I3968" s="29"/>
    </row>
    <row r="3969" spans="6:9" x14ac:dyDescent="0.3">
      <c r="F3969" s="29"/>
      <c r="G3969" s="29"/>
      <c r="H3969" s="28"/>
      <c r="I3969" s="29"/>
    </row>
    <row r="3970" spans="6:9" x14ac:dyDescent="0.3">
      <c r="F3970" s="29"/>
      <c r="G3970" s="29"/>
      <c r="H3970" s="28"/>
      <c r="I3970" s="29"/>
    </row>
    <row r="3971" spans="6:9" x14ac:dyDescent="0.3">
      <c r="F3971" s="29"/>
      <c r="G3971" s="29"/>
      <c r="H3971" s="28"/>
      <c r="I3971" s="29"/>
    </row>
    <row r="3972" spans="6:9" x14ac:dyDescent="0.3">
      <c r="F3972" s="29"/>
      <c r="G3972" s="29"/>
      <c r="H3972" s="28"/>
      <c r="I3972" s="29"/>
    </row>
    <row r="3973" spans="6:9" x14ac:dyDescent="0.3">
      <c r="F3973" s="29"/>
      <c r="G3973" s="29"/>
      <c r="H3973" s="28"/>
      <c r="I3973" s="29"/>
    </row>
    <row r="3974" spans="6:9" x14ac:dyDescent="0.3">
      <c r="F3974" s="29"/>
      <c r="G3974" s="29"/>
      <c r="H3974" s="28"/>
      <c r="I3974" s="29"/>
    </row>
    <row r="3975" spans="6:9" x14ac:dyDescent="0.3">
      <c r="F3975" s="29"/>
      <c r="G3975" s="29"/>
      <c r="H3975" s="28"/>
      <c r="I3975" s="29"/>
    </row>
    <row r="3976" spans="6:9" x14ac:dyDescent="0.3">
      <c r="F3976" s="29"/>
      <c r="G3976" s="29"/>
      <c r="H3976" s="28"/>
      <c r="I3976" s="29"/>
    </row>
    <row r="3977" spans="6:9" x14ac:dyDescent="0.3">
      <c r="F3977" s="29"/>
      <c r="G3977" s="29"/>
      <c r="H3977" s="28"/>
      <c r="I3977" s="29"/>
    </row>
    <row r="3978" spans="6:9" x14ac:dyDescent="0.3">
      <c r="F3978" s="29"/>
      <c r="G3978" s="29"/>
      <c r="H3978" s="28"/>
      <c r="I3978" s="29"/>
    </row>
    <row r="3979" spans="6:9" x14ac:dyDescent="0.3">
      <c r="F3979" s="29"/>
      <c r="G3979" s="29"/>
      <c r="H3979" s="28"/>
      <c r="I3979" s="29"/>
    </row>
    <row r="3980" spans="6:9" x14ac:dyDescent="0.3">
      <c r="F3980" s="29"/>
      <c r="G3980" s="29"/>
      <c r="H3980" s="28"/>
      <c r="I3980" s="29"/>
    </row>
    <row r="3981" spans="6:9" x14ac:dyDescent="0.3">
      <c r="F3981" s="29"/>
      <c r="G3981" s="29"/>
      <c r="H3981" s="28"/>
      <c r="I3981" s="29"/>
    </row>
    <row r="3982" spans="6:9" x14ac:dyDescent="0.3">
      <c r="F3982" s="29"/>
      <c r="G3982" s="29"/>
      <c r="H3982" s="28"/>
      <c r="I3982" s="29"/>
    </row>
    <row r="3983" spans="6:9" x14ac:dyDescent="0.3">
      <c r="F3983" s="29"/>
      <c r="G3983" s="29"/>
      <c r="H3983" s="28"/>
      <c r="I3983" s="29"/>
    </row>
    <row r="3984" spans="6:9" x14ac:dyDescent="0.3">
      <c r="F3984" s="29"/>
      <c r="G3984" s="29"/>
      <c r="H3984" s="28"/>
      <c r="I3984" s="29"/>
    </row>
    <row r="3985" spans="6:9" x14ac:dyDescent="0.3">
      <c r="F3985" s="29"/>
      <c r="G3985" s="29"/>
      <c r="H3985" s="28"/>
      <c r="I3985" s="29"/>
    </row>
    <row r="3986" spans="6:9" x14ac:dyDescent="0.3">
      <c r="F3986" s="29"/>
      <c r="G3986" s="29"/>
      <c r="H3986" s="28"/>
      <c r="I3986" s="29"/>
    </row>
    <row r="3987" spans="6:9" x14ac:dyDescent="0.3">
      <c r="F3987" s="29"/>
      <c r="G3987" s="29"/>
      <c r="H3987" s="28"/>
      <c r="I3987" s="29"/>
    </row>
    <row r="3988" spans="6:9" x14ac:dyDescent="0.3">
      <c r="F3988" s="29"/>
      <c r="G3988" s="29"/>
      <c r="H3988" s="28"/>
      <c r="I3988" s="29"/>
    </row>
    <row r="3989" spans="6:9" x14ac:dyDescent="0.3">
      <c r="F3989" s="29"/>
      <c r="G3989" s="29"/>
      <c r="H3989" s="28"/>
      <c r="I3989" s="29"/>
    </row>
    <row r="3990" spans="6:9" x14ac:dyDescent="0.3">
      <c r="F3990" s="29"/>
      <c r="G3990" s="29"/>
      <c r="H3990" s="28"/>
      <c r="I3990" s="29"/>
    </row>
    <row r="3991" spans="6:9" x14ac:dyDescent="0.3">
      <c r="F3991" s="29"/>
      <c r="G3991" s="29"/>
      <c r="H3991" s="28"/>
      <c r="I3991" s="29"/>
    </row>
    <row r="3992" spans="6:9" x14ac:dyDescent="0.3">
      <c r="F3992" s="29"/>
      <c r="G3992" s="29"/>
      <c r="H3992" s="28"/>
      <c r="I3992" s="29"/>
    </row>
    <row r="3993" spans="6:9" x14ac:dyDescent="0.3">
      <c r="F3993" s="29"/>
      <c r="G3993" s="29"/>
      <c r="H3993" s="28"/>
      <c r="I3993" s="29"/>
    </row>
    <row r="3994" spans="6:9" x14ac:dyDescent="0.3">
      <c r="F3994" s="29"/>
      <c r="G3994" s="29"/>
      <c r="H3994" s="28"/>
      <c r="I3994" s="29"/>
    </row>
    <row r="3995" spans="6:9" x14ac:dyDescent="0.3">
      <c r="F3995" s="29"/>
      <c r="G3995" s="29"/>
      <c r="H3995" s="28"/>
      <c r="I3995" s="29"/>
    </row>
    <row r="3996" spans="6:9" x14ac:dyDescent="0.3">
      <c r="F3996" s="29"/>
      <c r="G3996" s="29"/>
      <c r="H3996" s="28"/>
      <c r="I3996" s="29"/>
    </row>
    <row r="3997" spans="6:9" x14ac:dyDescent="0.3">
      <c r="F3997" s="29"/>
      <c r="G3997" s="29"/>
      <c r="H3997" s="28"/>
      <c r="I3997" s="29"/>
    </row>
    <row r="3998" spans="6:9" x14ac:dyDescent="0.3">
      <c r="F3998" s="29"/>
      <c r="G3998" s="29"/>
      <c r="H3998" s="28"/>
      <c r="I3998" s="29"/>
    </row>
    <row r="3999" spans="6:9" x14ac:dyDescent="0.3">
      <c r="F3999" s="29"/>
      <c r="G3999" s="29"/>
      <c r="H3999" s="28"/>
      <c r="I3999" s="29"/>
    </row>
    <row r="4000" spans="6:9" x14ac:dyDescent="0.3">
      <c r="F4000" s="29"/>
      <c r="G4000" s="29"/>
      <c r="H4000" s="28"/>
      <c r="I4000" s="29"/>
    </row>
    <row r="4001" spans="6:9" x14ac:dyDescent="0.3">
      <c r="F4001" s="29"/>
      <c r="G4001" s="29"/>
      <c r="H4001" s="28"/>
      <c r="I4001" s="29"/>
    </row>
    <row r="4002" spans="6:9" x14ac:dyDescent="0.3">
      <c r="F4002" s="29"/>
      <c r="G4002" s="29"/>
      <c r="H4002" s="28"/>
      <c r="I4002" s="29"/>
    </row>
    <row r="4003" spans="6:9" x14ac:dyDescent="0.3">
      <c r="F4003" s="29"/>
      <c r="G4003" s="29"/>
      <c r="H4003" s="28"/>
      <c r="I4003" s="29"/>
    </row>
    <row r="4004" spans="6:9" x14ac:dyDescent="0.3">
      <c r="F4004" s="29"/>
      <c r="G4004" s="29"/>
      <c r="H4004" s="28"/>
      <c r="I4004" s="29"/>
    </row>
    <row r="4005" spans="6:9" x14ac:dyDescent="0.3">
      <c r="F4005" s="29"/>
      <c r="G4005" s="29"/>
      <c r="H4005" s="28"/>
      <c r="I4005" s="29"/>
    </row>
    <row r="4006" spans="6:9" x14ac:dyDescent="0.3">
      <c r="F4006" s="29"/>
      <c r="G4006" s="29"/>
      <c r="H4006" s="28"/>
      <c r="I4006" s="29"/>
    </row>
    <row r="4007" spans="6:9" x14ac:dyDescent="0.3">
      <c r="F4007" s="29"/>
      <c r="G4007" s="29"/>
      <c r="H4007" s="28"/>
      <c r="I4007" s="29"/>
    </row>
    <row r="4008" spans="6:9" x14ac:dyDescent="0.3">
      <c r="F4008" s="29"/>
      <c r="G4008" s="29"/>
      <c r="H4008" s="28"/>
      <c r="I4008" s="29"/>
    </row>
    <row r="4009" spans="6:9" x14ac:dyDescent="0.3">
      <c r="F4009" s="29"/>
      <c r="G4009" s="29"/>
      <c r="H4009" s="28"/>
      <c r="I4009" s="29"/>
    </row>
    <row r="4010" spans="6:9" x14ac:dyDescent="0.3">
      <c r="F4010" s="29"/>
      <c r="G4010" s="29"/>
      <c r="H4010" s="28"/>
      <c r="I4010" s="29"/>
    </row>
    <row r="4011" spans="6:9" x14ac:dyDescent="0.3">
      <c r="F4011" s="29"/>
      <c r="G4011" s="29"/>
      <c r="H4011" s="28"/>
      <c r="I4011" s="29"/>
    </row>
    <row r="4012" spans="6:9" x14ac:dyDescent="0.3">
      <c r="F4012" s="29"/>
      <c r="G4012" s="29"/>
      <c r="H4012" s="28"/>
      <c r="I4012" s="29"/>
    </row>
    <row r="4013" spans="6:9" x14ac:dyDescent="0.3">
      <c r="F4013" s="29"/>
      <c r="G4013" s="29"/>
      <c r="H4013" s="28"/>
      <c r="I4013" s="29"/>
    </row>
    <row r="4014" spans="6:9" x14ac:dyDescent="0.3">
      <c r="F4014" s="29"/>
      <c r="G4014" s="29"/>
      <c r="H4014" s="28"/>
      <c r="I4014" s="29"/>
    </row>
    <row r="4015" spans="6:9" x14ac:dyDescent="0.3">
      <c r="F4015" s="29"/>
      <c r="G4015" s="29"/>
      <c r="H4015" s="28"/>
      <c r="I4015" s="29"/>
    </row>
    <row r="4016" spans="6:9" x14ac:dyDescent="0.3">
      <c r="F4016" s="29"/>
      <c r="G4016" s="29"/>
      <c r="H4016" s="28"/>
      <c r="I4016" s="29"/>
    </row>
    <row r="4017" spans="6:9" x14ac:dyDescent="0.3">
      <c r="F4017" s="29"/>
      <c r="G4017" s="29"/>
      <c r="H4017" s="28"/>
      <c r="I4017" s="29"/>
    </row>
    <row r="4018" spans="6:9" x14ac:dyDescent="0.3">
      <c r="F4018" s="29"/>
      <c r="G4018" s="29"/>
      <c r="H4018" s="28"/>
      <c r="I4018" s="29"/>
    </row>
    <row r="4019" spans="6:9" x14ac:dyDescent="0.3">
      <c r="F4019" s="29"/>
      <c r="G4019" s="29"/>
      <c r="H4019" s="28"/>
      <c r="I4019" s="29"/>
    </row>
    <row r="4020" spans="6:9" x14ac:dyDescent="0.3">
      <c r="F4020" s="29"/>
      <c r="G4020" s="29"/>
      <c r="H4020" s="28"/>
      <c r="I4020" s="29"/>
    </row>
    <row r="4021" spans="6:9" x14ac:dyDescent="0.3">
      <c r="F4021" s="29"/>
      <c r="G4021" s="29"/>
      <c r="H4021" s="28"/>
      <c r="I4021" s="29"/>
    </row>
    <row r="4022" spans="6:9" x14ac:dyDescent="0.3">
      <c r="F4022" s="29"/>
      <c r="G4022" s="29"/>
      <c r="H4022" s="28"/>
      <c r="I4022" s="29"/>
    </row>
    <row r="4023" spans="6:9" x14ac:dyDescent="0.3">
      <c r="F4023" s="29"/>
      <c r="G4023" s="29"/>
      <c r="H4023" s="28"/>
      <c r="I4023" s="29"/>
    </row>
    <row r="4024" spans="6:9" x14ac:dyDescent="0.3">
      <c r="F4024" s="29"/>
      <c r="G4024" s="29"/>
      <c r="H4024" s="28"/>
      <c r="I4024" s="29"/>
    </row>
    <row r="4025" spans="6:9" x14ac:dyDescent="0.3">
      <c r="F4025" s="29"/>
      <c r="G4025" s="29"/>
      <c r="H4025" s="28"/>
      <c r="I4025" s="29"/>
    </row>
    <row r="4026" spans="6:9" x14ac:dyDescent="0.3">
      <c r="F4026" s="29"/>
      <c r="G4026" s="29"/>
      <c r="H4026" s="28"/>
      <c r="I4026" s="29"/>
    </row>
    <row r="4027" spans="6:9" x14ac:dyDescent="0.3">
      <c r="F4027" s="29"/>
      <c r="G4027" s="29"/>
      <c r="H4027" s="28"/>
      <c r="I4027" s="29"/>
    </row>
    <row r="4028" spans="6:9" x14ac:dyDescent="0.3">
      <c r="F4028" s="29"/>
      <c r="G4028" s="29"/>
      <c r="H4028" s="28"/>
      <c r="I4028" s="29"/>
    </row>
    <row r="4029" spans="6:9" x14ac:dyDescent="0.3">
      <c r="F4029" s="29"/>
      <c r="G4029" s="29"/>
      <c r="H4029" s="28"/>
      <c r="I4029" s="29"/>
    </row>
    <row r="4030" spans="6:9" x14ac:dyDescent="0.3">
      <c r="F4030" s="29"/>
      <c r="G4030" s="29"/>
      <c r="H4030" s="28"/>
      <c r="I4030" s="29"/>
    </row>
    <row r="4031" spans="6:9" x14ac:dyDescent="0.3">
      <c r="F4031" s="29"/>
      <c r="G4031" s="29"/>
      <c r="H4031" s="28"/>
      <c r="I4031" s="29"/>
    </row>
    <row r="4032" spans="6:9" x14ac:dyDescent="0.3">
      <c r="F4032" s="29"/>
      <c r="G4032" s="29"/>
      <c r="H4032" s="28"/>
      <c r="I4032" s="29"/>
    </row>
    <row r="4033" spans="6:9" x14ac:dyDescent="0.3">
      <c r="F4033" s="29"/>
      <c r="G4033" s="29"/>
      <c r="H4033" s="28"/>
      <c r="I4033" s="29"/>
    </row>
    <row r="4034" spans="6:9" x14ac:dyDescent="0.3">
      <c r="F4034" s="29"/>
      <c r="G4034" s="29"/>
      <c r="H4034" s="28"/>
      <c r="I4034" s="29"/>
    </row>
    <row r="4035" spans="6:9" x14ac:dyDescent="0.3">
      <c r="F4035" s="29"/>
      <c r="G4035" s="29"/>
      <c r="H4035" s="28"/>
      <c r="I4035" s="29"/>
    </row>
    <row r="4036" spans="6:9" x14ac:dyDescent="0.3">
      <c r="F4036" s="29"/>
      <c r="G4036" s="29"/>
      <c r="H4036" s="28"/>
      <c r="I4036" s="29"/>
    </row>
    <row r="4037" spans="6:9" x14ac:dyDescent="0.3">
      <c r="F4037" s="29"/>
      <c r="G4037" s="29"/>
      <c r="H4037" s="28"/>
      <c r="I4037" s="29"/>
    </row>
    <row r="4038" spans="6:9" x14ac:dyDescent="0.3">
      <c r="F4038" s="29"/>
      <c r="G4038" s="29"/>
      <c r="H4038" s="28"/>
      <c r="I4038" s="29"/>
    </row>
    <row r="4039" spans="6:9" x14ac:dyDescent="0.3">
      <c r="F4039" s="29"/>
      <c r="G4039" s="29"/>
      <c r="H4039" s="28"/>
      <c r="I4039" s="29"/>
    </row>
    <row r="4040" spans="6:9" x14ac:dyDescent="0.3">
      <c r="F4040" s="29"/>
      <c r="G4040" s="29"/>
      <c r="H4040" s="28"/>
      <c r="I4040" s="29"/>
    </row>
    <row r="4041" spans="6:9" x14ac:dyDescent="0.3">
      <c r="F4041" s="29"/>
      <c r="G4041" s="29"/>
      <c r="H4041" s="28"/>
      <c r="I4041" s="29"/>
    </row>
    <row r="4042" spans="6:9" x14ac:dyDescent="0.3">
      <c r="F4042" s="29"/>
      <c r="G4042" s="29"/>
      <c r="H4042" s="28"/>
      <c r="I4042" s="29"/>
    </row>
    <row r="4043" spans="6:9" x14ac:dyDescent="0.3">
      <c r="F4043" s="29"/>
      <c r="G4043" s="29"/>
      <c r="H4043" s="28"/>
      <c r="I4043" s="29"/>
    </row>
    <row r="4044" spans="6:9" x14ac:dyDescent="0.3">
      <c r="F4044" s="29"/>
      <c r="G4044" s="29"/>
      <c r="H4044" s="28"/>
      <c r="I4044" s="29"/>
    </row>
    <row r="4045" spans="6:9" x14ac:dyDescent="0.3">
      <c r="F4045" s="29"/>
      <c r="G4045" s="29"/>
      <c r="H4045" s="28"/>
      <c r="I4045" s="29"/>
    </row>
    <row r="4046" spans="6:9" x14ac:dyDescent="0.3">
      <c r="F4046" s="29"/>
      <c r="G4046" s="29"/>
      <c r="H4046" s="28"/>
      <c r="I4046" s="29"/>
    </row>
    <row r="4047" spans="6:9" x14ac:dyDescent="0.3">
      <c r="F4047" s="29"/>
      <c r="G4047" s="29"/>
      <c r="H4047" s="28"/>
      <c r="I4047" s="29"/>
    </row>
    <row r="4048" spans="6:9" x14ac:dyDescent="0.3">
      <c r="F4048" s="29"/>
      <c r="G4048" s="29"/>
      <c r="H4048" s="28"/>
      <c r="I4048" s="29"/>
    </row>
    <row r="4049" spans="6:9" x14ac:dyDescent="0.3">
      <c r="F4049" s="29"/>
      <c r="G4049" s="29"/>
      <c r="H4049" s="28"/>
      <c r="I4049" s="29"/>
    </row>
    <row r="4050" spans="6:9" x14ac:dyDescent="0.3">
      <c r="F4050" s="29"/>
      <c r="G4050" s="29"/>
      <c r="H4050" s="28"/>
      <c r="I4050" s="29"/>
    </row>
    <row r="4051" spans="6:9" x14ac:dyDescent="0.3">
      <c r="F4051" s="29"/>
      <c r="G4051" s="29"/>
      <c r="H4051" s="28"/>
      <c r="I4051" s="29"/>
    </row>
    <row r="4052" spans="6:9" x14ac:dyDescent="0.3">
      <c r="F4052" s="29"/>
      <c r="G4052" s="29"/>
      <c r="H4052" s="28"/>
      <c r="I4052" s="29"/>
    </row>
    <row r="4053" spans="6:9" x14ac:dyDescent="0.3">
      <c r="F4053" s="29"/>
      <c r="G4053" s="29"/>
      <c r="H4053" s="28"/>
      <c r="I4053" s="29"/>
    </row>
    <row r="4054" spans="6:9" x14ac:dyDescent="0.3">
      <c r="F4054" s="29"/>
      <c r="G4054" s="29"/>
      <c r="H4054" s="28"/>
      <c r="I4054" s="29"/>
    </row>
    <row r="4055" spans="6:9" x14ac:dyDescent="0.3">
      <c r="F4055" s="29"/>
      <c r="G4055" s="29"/>
      <c r="H4055" s="28"/>
      <c r="I4055" s="29"/>
    </row>
    <row r="4056" spans="6:9" x14ac:dyDescent="0.3">
      <c r="F4056" s="29"/>
      <c r="G4056" s="29"/>
      <c r="H4056" s="28"/>
      <c r="I4056" s="29"/>
    </row>
    <row r="4057" spans="6:9" x14ac:dyDescent="0.3">
      <c r="F4057" s="29"/>
      <c r="G4057" s="29"/>
      <c r="H4057" s="28"/>
      <c r="I4057" s="29"/>
    </row>
    <row r="4058" spans="6:9" x14ac:dyDescent="0.3">
      <c r="F4058" s="29"/>
      <c r="G4058" s="29"/>
      <c r="H4058" s="28"/>
      <c r="I4058" s="29"/>
    </row>
    <row r="4059" spans="6:9" x14ac:dyDescent="0.3">
      <c r="F4059" s="29"/>
      <c r="G4059" s="29"/>
      <c r="H4059" s="28"/>
      <c r="I4059" s="29"/>
    </row>
    <row r="4060" spans="6:9" x14ac:dyDescent="0.3">
      <c r="F4060" s="29"/>
      <c r="G4060" s="29"/>
      <c r="H4060" s="28"/>
      <c r="I4060" s="29"/>
    </row>
    <row r="4061" spans="6:9" x14ac:dyDescent="0.3">
      <c r="F4061" s="29"/>
      <c r="G4061" s="29"/>
      <c r="H4061" s="28"/>
      <c r="I4061" s="29"/>
    </row>
    <row r="4062" spans="6:9" x14ac:dyDescent="0.3">
      <c r="F4062" s="29"/>
      <c r="G4062" s="29"/>
      <c r="H4062" s="28"/>
      <c r="I4062" s="29"/>
    </row>
    <row r="4063" spans="6:9" x14ac:dyDescent="0.3">
      <c r="F4063" s="29"/>
      <c r="G4063" s="29"/>
      <c r="H4063" s="28"/>
      <c r="I4063" s="29"/>
    </row>
    <row r="4064" spans="6:9" x14ac:dyDescent="0.3">
      <c r="F4064" s="29"/>
      <c r="G4064" s="29"/>
      <c r="H4064" s="28"/>
      <c r="I4064" s="29"/>
    </row>
    <row r="4065" spans="6:9" x14ac:dyDescent="0.3">
      <c r="F4065" s="29"/>
      <c r="G4065" s="29"/>
      <c r="H4065" s="28"/>
      <c r="I4065" s="29"/>
    </row>
    <row r="4066" spans="6:9" x14ac:dyDescent="0.3">
      <c r="F4066" s="29"/>
      <c r="G4066" s="29"/>
      <c r="H4066" s="28"/>
      <c r="I4066" s="29"/>
    </row>
    <row r="4067" spans="6:9" x14ac:dyDescent="0.3">
      <c r="F4067" s="29"/>
      <c r="G4067" s="29"/>
      <c r="H4067" s="28"/>
      <c r="I4067" s="29"/>
    </row>
    <row r="4068" spans="6:9" x14ac:dyDescent="0.3">
      <c r="F4068" s="29"/>
      <c r="G4068" s="29"/>
      <c r="H4068" s="28"/>
      <c r="I4068" s="29"/>
    </row>
    <row r="4069" spans="6:9" x14ac:dyDescent="0.3">
      <c r="F4069" s="29"/>
      <c r="G4069" s="29"/>
      <c r="H4069" s="28"/>
      <c r="I4069" s="29"/>
    </row>
    <row r="4070" spans="6:9" x14ac:dyDescent="0.3">
      <c r="F4070" s="29"/>
      <c r="G4070" s="29"/>
      <c r="H4070" s="28"/>
      <c r="I4070" s="29"/>
    </row>
    <row r="4071" spans="6:9" x14ac:dyDescent="0.3">
      <c r="F4071" s="29"/>
      <c r="G4071" s="29"/>
      <c r="H4071" s="28"/>
      <c r="I4071" s="29"/>
    </row>
    <row r="4072" spans="6:9" x14ac:dyDescent="0.3">
      <c r="F4072" s="29"/>
      <c r="G4072" s="29"/>
      <c r="H4072" s="28"/>
      <c r="I4072" s="29"/>
    </row>
    <row r="4073" spans="6:9" x14ac:dyDescent="0.3">
      <c r="F4073" s="29"/>
      <c r="G4073" s="29"/>
      <c r="H4073" s="28"/>
      <c r="I4073" s="29"/>
    </row>
    <row r="4074" spans="6:9" x14ac:dyDescent="0.3">
      <c r="F4074" s="29"/>
      <c r="G4074" s="29"/>
      <c r="H4074" s="28"/>
      <c r="I4074" s="29"/>
    </row>
    <row r="4075" spans="6:9" x14ac:dyDescent="0.3">
      <c r="F4075" s="29"/>
      <c r="G4075" s="29"/>
      <c r="H4075" s="28"/>
      <c r="I4075" s="29"/>
    </row>
    <row r="4076" spans="6:9" x14ac:dyDescent="0.3">
      <c r="F4076" s="29"/>
      <c r="G4076" s="29"/>
      <c r="H4076" s="28"/>
      <c r="I4076" s="29"/>
    </row>
    <row r="4077" spans="6:9" x14ac:dyDescent="0.3">
      <c r="F4077" s="29"/>
      <c r="G4077" s="29"/>
      <c r="H4077" s="28"/>
      <c r="I4077" s="29"/>
    </row>
    <row r="4078" spans="6:9" x14ac:dyDescent="0.3">
      <c r="F4078" s="29"/>
      <c r="G4078" s="29"/>
      <c r="H4078" s="28"/>
      <c r="I4078" s="29"/>
    </row>
    <row r="4079" spans="6:9" x14ac:dyDescent="0.3">
      <c r="F4079" s="29"/>
      <c r="G4079" s="29"/>
      <c r="H4079" s="28"/>
      <c r="I4079" s="29"/>
    </row>
    <row r="4080" spans="6:9" x14ac:dyDescent="0.3">
      <c r="F4080" s="29"/>
      <c r="G4080" s="29"/>
      <c r="H4080" s="28"/>
      <c r="I4080" s="29"/>
    </row>
    <row r="4081" spans="6:9" x14ac:dyDescent="0.3">
      <c r="F4081" s="29"/>
      <c r="G4081" s="29"/>
      <c r="H4081" s="28"/>
      <c r="I4081" s="29"/>
    </row>
    <row r="4082" spans="6:9" x14ac:dyDescent="0.3">
      <c r="F4082" s="29"/>
      <c r="G4082" s="29"/>
      <c r="H4082" s="28"/>
      <c r="I4082" s="29"/>
    </row>
    <row r="4083" spans="6:9" x14ac:dyDescent="0.3">
      <c r="F4083" s="29"/>
      <c r="G4083" s="29"/>
      <c r="H4083" s="28"/>
      <c r="I4083" s="29"/>
    </row>
    <row r="4084" spans="6:9" x14ac:dyDescent="0.3">
      <c r="F4084" s="29"/>
      <c r="G4084" s="29"/>
      <c r="H4084" s="28"/>
      <c r="I4084" s="29"/>
    </row>
    <row r="4085" spans="6:9" x14ac:dyDescent="0.3">
      <c r="F4085" s="29"/>
      <c r="G4085" s="29"/>
      <c r="H4085" s="28"/>
      <c r="I4085" s="29"/>
    </row>
    <row r="4086" spans="6:9" x14ac:dyDescent="0.3">
      <c r="F4086" s="29"/>
      <c r="G4086" s="29"/>
      <c r="H4086" s="28"/>
      <c r="I4086" s="29"/>
    </row>
    <row r="4087" spans="6:9" x14ac:dyDescent="0.3">
      <c r="F4087" s="29"/>
      <c r="G4087" s="29"/>
      <c r="H4087" s="28"/>
      <c r="I4087" s="29"/>
    </row>
    <row r="4088" spans="6:9" x14ac:dyDescent="0.3">
      <c r="F4088" s="29"/>
      <c r="G4088" s="29"/>
      <c r="H4088" s="28"/>
      <c r="I4088" s="29"/>
    </row>
    <row r="4089" spans="6:9" x14ac:dyDescent="0.3">
      <c r="F4089" s="29"/>
      <c r="G4089" s="29"/>
      <c r="H4089" s="28"/>
      <c r="I4089" s="29"/>
    </row>
    <row r="4090" spans="6:9" x14ac:dyDescent="0.3">
      <c r="F4090" s="29"/>
      <c r="G4090" s="29"/>
      <c r="H4090" s="28"/>
      <c r="I4090" s="29"/>
    </row>
    <row r="4091" spans="6:9" x14ac:dyDescent="0.3">
      <c r="F4091" s="29"/>
      <c r="G4091" s="29"/>
      <c r="H4091" s="28"/>
      <c r="I4091" s="29"/>
    </row>
    <row r="4092" spans="6:9" x14ac:dyDescent="0.3">
      <c r="F4092" s="29"/>
      <c r="G4092" s="29"/>
      <c r="H4092" s="28"/>
      <c r="I4092" s="29"/>
    </row>
    <row r="4093" spans="6:9" x14ac:dyDescent="0.3">
      <c r="F4093" s="29"/>
      <c r="G4093" s="29"/>
      <c r="H4093" s="28"/>
      <c r="I4093" s="29"/>
    </row>
    <row r="4094" spans="6:9" x14ac:dyDescent="0.3">
      <c r="F4094" s="29"/>
      <c r="G4094" s="29"/>
      <c r="H4094" s="28"/>
      <c r="I4094" s="29"/>
    </row>
    <row r="4095" spans="6:9" x14ac:dyDescent="0.3">
      <c r="F4095" s="29"/>
      <c r="G4095" s="29"/>
      <c r="H4095" s="28"/>
      <c r="I4095" s="29"/>
    </row>
    <row r="4096" spans="6:9" x14ac:dyDescent="0.3">
      <c r="F4096" s="29"/>
      <c r="G4096" s="29"/>
      <c r="H4096" s="28"/>
      <c r="I4096" s="29"/>
    </row>
    <row r="4097" spans="6:9" x14ac:dyDescent="0.3">
      <c r="F4097" s="29"/>
      <c r="G4097" s="29"/>
      <c r="H4097" s="28"/>
      <c r="I4097" s="29"/>
    </row>
    <row r="4098" spans="6:9" x14ac:dyDescent="0.3">
      <c r="F4098" s="29"/>
      <c r="G4098" s="29"/>
      <c r="H4098" s="28"/>
      <c r="I4098" s="29"/>
    </row>
    <row r="4099" spans="6:9" x14ac:dyDescent="0.3">
      <c r="F4099" s="29"/>
      <c r="G4099" s="29"/>
      <c r="H4099" s="28"/>
      <c r="I4099" s="29"/>
    </row>
    <row r="4100" spans="6:9" x14ac:dyDescent="0.3">
      <c r="F4100" s="29"/>
      <c r="G4100" s="29"/>
      <c r="H4100" s="28"/>
      <c r="I4100" s="29"/>
    </row>
    <row r="4101" spans="6:9" x14ac:dyDescent="0.3">
      <c r="F4101" s="29"/>
      <c r="G4101" s="29"/>
      <c r="H4101" s="28"/>
      <c r="I4101" s="29"/>
    </row>
    <row r="4102" spans="6:9" x14ac:dyDescent="0.3">
      <c r="F4102" s="29"/>
      <c r="G4102" s="29"/>
      <c r="H4102" s="28"/>
      <c r="I4102" s="29"/>
    </row>
    <row r="4103" spans="6:9" x14ac:dyDescent="0.3">
      <c r="F4103" s="29"/>
      <c r="G4103" s="29"/>
      <c r="H4103" s="28"/>
      <c r="I4103" s="29"/>
    </row>
    <row r="4104" spans="6:9" x14ac:dyDescent="0.3">
      <c r="F4104" s="29"/>
      <c r="G4104" s="29"/>
      <c r="H4104" s="28"/>
      <c r="I4104" s="29"/>
    </row>
    <row r="4105" spans="6:9" x14ac:dyDescent="0.3">
      <c r="F4105" s="29"/>
      <c r="G4105" s="29"/>
      <c r="H4105" s="28"/>
      <c r="I4105" s="29"/>
    </row>
    <row r="4106" spans="6:9" x14ac:dyDescent="0.3">
      <c r="F4106" s="29"/>
      <c r="G4106" s="29"/>
      <c r="H4106" s="28"/>
      <c r="I4106" s="29"/>
    </row>
    <row r="4107" spans="6:9" x14ac:dyDescent="0.3">
      <c r="F4107" s="29"/>
      <c r="G4107" s="29"/>
      <c r="H4107" s="28"/>
      <c r="I4107" s="29"/>
    </row>
    <row r="4108" spans="6:9" x14ac:dyDescent="0.3">
      <c r="F4108" s="29"/>
      <c r="G4108" s="29"/>
      <c r="H4108" s="28"/>
      <c r="I4108" s="29"/>
    </row>
    <row r="4109" spans="6:9" x14ac:dyDescent="0.3">
      <c r="F4109" s="29"/>
      <c r="G4109" s="29"/>
      <c r="H4109" s="28"/>
      <c r="I4109" s="29"/>
    </row>
    <row r="4110" spans="6:9" x14ac:dyDescent="0.3">
      <c r="F4110" s="29"/>
      <c r="G4110" s="29"/>
      <c r="H4110" s="28"/>
      <c r="I4110" s="29"/>
    </row>
    <row r="4111" spans="6:9" x14ac:dyDescent="0.3">
      <c r="F4111" s="29"/>
      <c r="G4111" s="29"/>
      <c r="H4111" s="28"/>
      <c r="I4111" s="29"/>
    </row>
    <row r="4112" spans="6:9" x14ac:dyDescent="0.3">
      <c r="F4112" s="29"/>
      <c r="G4112" s="29"/>
      <c r="H4112" s="28"/>
      <c r="I4112" s="29"/>
    </row>
    <row r="4113" spans="6:9" x14ac:dyDescent="0.3">
      <c r="F4113" s="29"/>
      <c r="G4113" s="29"/>
      <c r="H4113" s="28"/>
      <c r="I4113" s="29"/>
    </row>
    <row r="4114" spans="6:9" x14ac:dyDescent="0.3">
      <c r="F4114" s="29"/>
      <c r="G4114" s="29"/>
      <c r="H4114" s="28"/>
      <c r="I4114" s="29"/>
    </row>
    <row r="4115" spans="6:9" x14ac:dyDescent="0.3">
      <c r="F4115" s="29"/>
      <c r="G4115" s="29"/>
      <c r="H4115" s="28"/>
      <c r="I4115" s="29"/>
    </row>
    <row r="4116" spans="6:9" x14ac:dyDescent="0.3">
      <c r="F4116" s="29"/>
      <c r="G4116" s="29"/>
      <c r="H4116" s="28"/>
      <c r="I4116" s="29"/>
    </row>
    <row r="4117" spans="6:9" x14ac:dyDescent="0.3">
      <c r="F4117" s="29"/>
      <c r="G4117" s="29"/>
      <c r="H4117" s="28"/>
      <c r="I4117" s="29"/>
    </row>
    <row r="4118" spans="6:9" x14ac:dyDescent="0.3">
      <c r="F4118" s="29"/>
      <c r="G4118" s="29"/>
      <c r="H4118" s="28"/>
      <c r="I4118" s="29"/>
    </row>
    <row r="4119" spans="6:9" x14ac:dyDescent="0.3">
      <c r="F4119" s="29"/>
      <c r="G4119" s="29"/>
      <c r="H4119" s="28"/>
      <c r="I4119" s="29"/>
    </row>
    <row r="4120" spans="6:9" x14ac:dyDescent="0.3">
      <c r="F4120" s="29"/>
      <c r="G4120" s="29"/>
      <c r="H4120" s="28"/>
      <c r="I4120" s="29"/>
    </row>
    <row r="4121" spans="6:9" x14ac:dyDescent="0.3">
      <c r="F4121" s="29"/>
      <c r="G4121" s="29"/>
      <c r="H4121" s="28"/>
      <c r="I4121" s="29"/>
    </row>
    <row r="4122" spans="6:9" x14ac:dyDescent="0.3">
      <c r="F4122" s="29"/>
      <c r="G4122" s="29"/>
      <c r="H4122" s="28"/>
      <c r="I4122" s="29"/>
    </row>
    <row r="4123" spans="6:9" x14ac:dyDescent="0.3">
      <c r="F4123" s="29"/>
      <c r="G4123" s="29"/>
      <c r="H4123" s="28"/>
      <c r="I4123" s="29"/>
    </row>
    <row r="4124" spans="6:9" x14ac:dyDescent="0.3">
      <c r="F4124" s="29"/>
      <c r="G4124" s="29"/>
      <c r="H4124" s="28"/>
      <c r="I4124" s="29"/>
    </row>
    <row r="4125" spans="6:9" x14ac:dyDescent="0.3">
      <c r="F4125" s="29"/>
      <c r="G4125" s="29"/>
      <c r="H4125" s="28"/>
      <c r="I4125" s="29"/>
    </row>
    <row r="4126" spans="6:9" x14ac:dyDescent="0.3">
      <c r="F4126" s="29"/>
      <c r="G4126" s="29"/>
      <c r="H4126" s="28"/>
      <c r="I4126" s="29"/>
    </row>
    <row r="4127" spans="6:9" x14ac:dyDescent="0.3">
      <c r="F4127" s="29"/>
      <c r="G4127" s="29"/>
      <c r="H4127" s="28"/>
      <c r="I4127" s="29"/>
    </row>
    <row r="4128" spans="6:9" x14ac:dyDescent="0.3">
      <c r="F4128" s="29"/>
      <c r="G4128" s="29"/>
      <c r="H4128" s="28"/>
      <c r="I4128" s="29"/>
    </row>
    <row r="4129" spans="6:9" x14ac:dyDescent="0.3">
      <c r="F4129" s="29"/>
      <c r="G4129" s="29"/>
      <c r="H4129" s="28"/>
      <c r="I4129" s="29"/>
    </row>
    <row r="4130" spans="6:9" x14ac:dyDescent="0.3">
      <c r="F4130" s="29"/>
      <c r="G4130" s="29"/>
      <c r="H4130" s="28"/>
      <c r="I4130" s="29"/>
    </row>
    <row r="4131" spans="6:9" x14ac:dyDescent="0.3">
      <c r="F4131" s="29"/>
      <c r="G4131" s="29"/>
      <c r="H4131" s="28"/>
      <c r="I4131" s="29"/>
    </row>
    <row r="4132" spans="6:9" x14ac:dyDescent="0.3">
      <c r="F4132" s="29"/>
      <c r="G4132" s="29"/>
      <c r="H4132" s="28"/>
      <c r="I4132" s="29"/>
    </row>
    <row r="4133" spans="6:9" x14ac:dyDescent="0.3">
      <c r="F4133" s="29"/>
      <c r="G4133" s="29"/>
      <c r="H4133" s="28"/>
      <c r="I4133" s="29"/>
    </row>
    <row r="4134" spans="6:9" x14ac:dyDescent="0.3">
      <c r="F4134" s="29"/>
      <c r="G4134" s="29"/>
      <c r="H4134" s="28"/>
      <c r="I4134" s="29"/>
    </row>
    <row r="4135" spans="6:9" x14ac:dyDescent="0.3">
      <c r="F4135" s="29"/>
      <c r="G4135" s="29"/>
      <c r="H4135" s="28"/>
      <c r="I4135" s="29"/>
    </row>
    <row r="4136" spans="6:9" x14ac:dyDescent="0.3">
      <c r="F4136" s="29"/>
      <c r="G4136" s="29"/>
      <c r="H4136" s="28"/>
      <c r="I4136" s="29"/>
    </row>
    <row r="4137" spans="6:9" x14ac:dyDescent="0.3">
      <c r="F4137" s="29"/>
      <c r="G4137" s="29"/>
      <c r="H4137" s="28"/>
      <c r="I4137" s="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10"/>
  <sheetViews>
    <sheetView tabSelected="1" workbookViewId="0">
      <selection activeCell="M5" sqref="M5"/>
    </sheetView>
  </sheetViews>
  <sheetFormatPr defaultRowHeight="14.4" x14ac:dyDescent="0.3"/>
  <cols>
    <col min="8" max="9" width="10.33203125" bestFit="1" customWidth="1"/>
  </cols>
  <sheetData>
    <row r="1" spans="1:23" ht="15.6" x14ac:dyDescent="0.3">
      <c r="L1" s="57" t="s">
        <v>84</v>
      </c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</row>
    <row r="2" spans="1:23" ht="57.6" x14ac:dyDescent="0.3">
      <c r="A2" s="13" t="s">
        <v>85</v>
      </c>
      <c r="B2" s="14" t="s">
        <v>86</v>
      </c>
      <c r="C2" s="14" t="s">
        <v>87</v>
      </c>
      <c r="D2" s="12" t="s">
        <v>88</v>
      </c>
      <c r="E2" s="12" t="s">
        <v>89</v>
      </c>
      <c r="F2" s="12" t="s">
        <v>90</v>
      </c>
      <c r="G2" s="12" t="s">
        <v>91</v>
      </c>
      <c r="H2" s="12" t="s">
        <v>92</v>
      </c>
      <c r="I2" s="12" t="s">
        <v>93</v>
      </c>
      <c r="J2" s="12" t="s">
        <v>94</v>
      </c>
      <c r="K2" s="12" t="s">
        <v>95</v>
      </c>
      <c r="L2" s="22" t="s">
        <v>19</v>
      </c>
      <c r="M2" s="22" t="s">
        <v>16</v>
      </c>
      <c r="N2" s="22" t="s">
        <v>17</v>
      </c>
      <c r="O2" s="22" t="s">
        <v>18</v>
      </c>
      <c r="P2" s="22" t="s">
        <v>15</v>
      </c>
      <c r="Q2" s="23" t="s">
        <v>11</v>
      </c>
      <c r="R2" s="23" t="s">
        <v>9</v>
      </c>
      <c r="S2" s="24" t="s">
        <v>4</v>
      </c>
      <c r="T2" s="24" t="s">
        <v>7</v>
      </c>
      <c r="U2" s="24" t="s">
        <v>1</v>
      </c>
      <c r="V2" s="25" t="s">
        <v>5</v>
      </c>
      <c r="W2" s="25" t="s">
        <v>13</v>
      </c>
    </row>
    <row r="3" spans="1:23" x14ac:dyDescent="0.3">
      <c r="A3" t="str">
        <f t="shared" ref="A3:A15" si="0">D3&amp;"-"&amp;RIGHT(E3,2)</f>
        <v>Jan-25</v>
      </c>
      <c r="B3" t="str">
        <f t="shared" ref="B3:B15" si="1">A3&amp;"|"&amp;F3</f>
        <v>Jan-25|W1</v>
      </c>
      <c r="C3">
        <v>1</v>
      </c>
      <c r="D3" t="s">
        <v>96</v>
      </c>
      <c r="E3">
        <v>2025</v>
      </c>
      <c r="F3" t="s">
        <v>97</v>
      </c>
      <c r="G3" t="s">
        <v>97</v>
      </c>
      <c r="H3" s="3">
        <f t="shared" ref="H3:H10" si="2">I3-6</f>
        <v>45656</v>
      </c>
      <c r="I3" s="3">
        <f t="shared" ref="I3:I10" si="3">H4-1</f>
        <v>45662</v>
      </c>
      <c r="J3" s="1">
        <f t="shared" ref="J3:J15" si="4">IF(NOT(MONTH(H3)=MONTH(I3)),I3-DATE(E3,C3,1)+1,
    IF(MONTH(I3)=C3-1, 0,7))</f>
        <v>5</v>
      </c>
      <c r="K3" s="1">
        <f t="shared" ref="K3:K15" si="5">7-J3</f>
        <v>2</v>
      </c>
      <c r="L3" s="26"/>
      <c r="M3" s="26"/>
      <c r="N3" s="26"/>
      <c r="O3" s="26"/>
      <c r="P3" s="26"/>
      <c r="Q3" s="26"/>
      <c r="R3" s="26"/>
      <c r="S3" s="26"/>
      <c r="T3" s="26"/>
      <c r="U3" s="26"/>
      <c r="V3" s="26">
        <v>56</v>
      </c>
      <c r="W3" s="26">
        <v>56</v>
      </c>
    </row>
    <row r="4" spans="1:23" x14ac:dyDescent="0.3">
      <c r="A4" t="str">
        <f t="shared" si="0"/>
        <v>Jan-25</v>
      </c>
      <c r="B4" t="str">
        <f t="shared" si="1"/>
        <v>Jan-25|W2</v>
      </c>
      <c r="C4">
        <v>1</v>
      </c>
      <c r="D4" t="s">
        <v>96</v>
      </c>
      <c r="E4">
        <v>2025</v>
      </c>
      <c r="F4" t="s">
        <v>98</v>
      </c>
      <c r="G4" t="str">
        <f t="shared" ref="G4:G15" si="6">"W"&amp;WEEKNUM(H4)</f>
        <v>W2</v>
      </c>
      <c r="H4" s="3">
        <f t="shared" si="2"/>
        <v>45663</v>
      </c>
      <c r="I4" s="3">
        <f t="shared" si="3"/>
        <v>45669</v>
      </c>
      <c r="J4" s="1">
        <f t="shared" si="4"/>
        <v>7</v>
      </c>
      <c r="K4" s="1">
        <f t="shared" si="5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>
        <v>56</v>
      </c>
      <c r="W4" s="26">
        <v>56</v>
      </c>
    </row>
    <row r="5" spans="1:23" x14ac:dyDescent="0.3">
      <c r="A5" t="str">
        <f t="shared" si="0"/>
        <v>Jan-25</v>
      </c>
      <c r="B5" t="str">
        <f t="shared" si="1"/>
        <v>Jan-25|W3</v>
      </c>
      <c r="C5">
        <v>1</v>
      </c>
      <c r="D5" t="s">
        <v>96</v>
      </c>
      <c r="E5">
        <v>2025</v>
      </c>
      <c r="F5" t="s">
        <v>99</v>
      </c>
      <c r="G5" t="str">
        <f t="shared" si="6"/>
        <v>W3</v>
      </c>
      <c r="H5" s="3">
        <f t="shared" si="2"/>
        <v>45670</v>
      </c>
      <c r="I5" s="3">
        <f t="shared" si="3"/>
        <v>45676</v>
      </c>
      <c r="J5" s="1">
        <f t="shared" si="4"/>
        <v>7</v>
      </c>
      <c r="K5" s="1">
        <f t="shared" si="5"/>
        <v>0</v>
      </c>
      <c r="L5" s="26"/>
      <c r="M5" s="26"/>
      <c r="N5" s="26"/>
      <c r="O5" s="26"/>
      <c r="P5" s="26"/>
      <c r="Q5" s="26"/>
      <c r="R5" s="26"/>
      <c r="S5" s="26"/>
      <c r="T5" s="26"/>
      <c r="U5" s="26"/>
      <c r="V5" s="26">
        <v>56</v>
      </c>
      <c r="W5" s="26">
        <v>56</v>
      </c>
    </row>
    <row r="6" spans="1:23" x14ac:dyDescent="0.3">
      <c r="A6" t="str">
        <f t="shared" si="0"/>
        <v>Jan-25</v>
      </c>
      <c r="B6" t="str">
        <f t="shared" si="1"/>
        <v>Jan-25|W4</v>
      </c>
      <c r="C6">
        <v>1</v>
      </c>
      <c r="D6" t="s">
        <v>96</v>
      </c>
      <c r="E6">
        <v>2025</v>
      </c>
      <c r="F6" t="s">
        <v>100</v>
      </c>
      <c r="G6" t="str">
        <f t="shared" si="6"/>
        <v>W4</v>
      </c>
      <c r="H6" s="3">
        <f t="shared" si="2"/>
        <v>45677</v>
      </c>
      <c r="I6" s="3">
        <f t="shared" si="3"/>
        <v>45683</v>
      </c>
      <c r="J6" s="1">
        <f t="shared" si="4"/>
        <v>7</v>
      </c>
      <c r="K6" s="1">
        <f t="shared" si="5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>
        <v>56</v>
      </c>
      <c r="W6" s="26">
        <v>56</v>
      </c>
    </row>
    <row r="7" spans="1:23" x14ac:dyDescent="0.3">
      <c r="A7" t="str">
        <f t="shared" si="0"/>
        <v>Feb-25</v>
      </c>
      <c r="B7" t="str">
        <f t="shared" si="1"/>
        <v>Feb-25|W1</v>
      </c>
      <c r="C7">
        <v>2</v>
      </c>
      <c r="D7" t="s">
        <v>101</v>
      </c>
      <c r="E7">
        <v>2025</v>
      </c>
      <c r="F7" t="s">
        <v>97</v>
      </c>
      <c r="G7" t="str">
        <f t="shared" si="6"/>
        <v>W5</v>
      </c>
      <c r="H7" s="3">
        <f t="shared" si="2"/>
        <v>45684</v>
      </c>
      <c r="I7" s="3">
        <f t="shared" si="3"/>
        <v>45690</v>
      </c>
      <c r="J7" s="1">
        <f t="shared" si="4"/>
        <v>2</v>
      </c>
      <c r="K7" s="1">
        <f t="shared" si="5"/>
        <v>5</v>
      </c>
      <c r="L7" s="26"/>
      <c r="M7" s="26"/>
      <c r="N7" s="26"/>
      <c r="O7" s="26"/>
      <c r="P7" s="26"/>
      <c r="Q7" s="26"/>
      <c r="R7" s="26"/>
      <c r="S7" s="26"/>
      <c r="T7" s="26"/>
      <c r="U7" s="26"/>
      <c r="V7" s="26">
        <v>56</v>
      </c>
      <c r="W7" s="26">
        <v>56</v>
      </c>
    </row>
    <row r="8" spans="1:23" x14ac:dyDescent="0.3">
      <c r="A8" t="str">
        <f t="shared" si="0"/>
        <v>Feb-25</v>
      </c>
      <c r="B8" t="str">
        <f t="shared" si="1"/>
        <v>Feb-25|W2</v>
      </c>
      <c r="C8">
        <v>2</v>
      </c>
      <c r="D8" t="s">
        <v>101</v>
      </c>
      <c r="E8">
        <v>2025</v>
      </c>
      <c r="F8" t="s">
        <v>98</v>
      </c>
      <c r="G8" t="str">
        <f t="shared" si="6"/>
        <v>W6</v>
      </c>
      <c r="H8" s="3">
        <f t="shared" si="2"/>
        <v>45691</v>
      </c>
      <c r="I8" s="3">
        <f t="shared" si="3"/>
        <v>45697</v>
      </c>
      <c r="J8" s="1">
        <f t="shared" si="4"/>
        <v>7</v>
      </c>
      <c r="K8" s="1">
        <f t="shared" si="5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>
        <v>56</v>
      </c>
      <c r="W8" s="26">
        <v>56</v>
      </c>
    </row>
    <row r="9" spans="1:23" x14ac:dyDescent="0.3">
      <c r="A9" t="str">
        <f t="shared" si="0"/>
        <v>Feb-25</v>
      </c>
      <c r="B9" t="str">
        <f t="shared" si="1"/>
        <v>Feb-25|W3</v>
      </c>
      <c r="C9">
        <v>2</v>
      </c>
      <c r="D9" t="s">
        <v>101</v>
      </c>
      <c r="E9">
        <v>2025</v>
      </c>
      <c r="F9" t="s">
        <v>99</v>
      </c>
      <c r="G9" t="str">
        <f t="shared" si="6"/>
        <v>W7</v>
      </c>
      <c r="H9" s="3">
        <f t="shared" si="2"/>
        <v>45698</v>
      </c>
      <c r="I9" s="3">
        <f t="shared" si="3"/>
        <v>45704</v>
      </c>
      <c r="J9" s="1">
        <f t="shared" si="4"/>
        <v>7</v>
      </c>
      <c r="K9" s="1">
        <f t="shared" si="5"/>
        <v>0</v>
      </c>
      <c r="L9" s="26"/>
      <c r="M9" s="26"/>
      <c r="N9" s="26"/>
      <c r="O9" s="26"/>
      <c r="P9" s="26"/>
      <c r="Q9" s="26"/>
      <c r="R9" s="26"/>
      <c r="S9" s="26"/>
      <c r="T9" s="26"/>
      <c r="U9" s="26"/>
      <c r="V9" s="26">
        <v>56</v>
      </c>
      <c r="W9" s="26">
        <v>56</v>
      </c>
    </row>
    <row r="10" spans="1:23" x14ac:dyDescent="0.3">
      <c r="A10" t="str">
        <f t="shared" si="0"/>
        <v>Feb-25</v>
      </c>
      <c r="B10" t="str">
        <f t="shared" si="1"/>
        <v>Feb-25|W4</v>
      </c>
      <c r="C10">
        <v>2</v>
      </c>
      <c r="D10" t="s">
        <v>101</v>
      </c>
      <c r="E10">
        <v>2025</v>
      </c>
      <c r="F10" t="s">
        <v>100</v>
      </c>
      <c r="G10" t="str">
        <f t="shared" si="6"/>
        <v>W8</v>
      </c>
      <c r="H10" s="3">
        <f t="shared" si="2"/>
        <v>45705</v>
      </c>
      <c r="I10" s="3">
        <f t="shared" si="3"/>
        <v>45711</v>
      </c>
      <c r="J10" s="1">
        <f t="shared" si="4"/>
        <v>7</v>
      </c>
      <c r="K10" s="1">
        <f t="shared" si="5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>
        <v>56</v>
      </c>
      <c r="W10" s="26">
        <v>56</v>
      </c>
    </row>
    <row r="11" spans="1:23" x14ac:dyDescent="0.3">
      <c r="A11" t="str">
        <f t="shared" si="0"/>
        <v>Mar-25</v>
      </c>
      <c r="B11" t="str">
        <f t="shared" si="1"/>
        <v>Mar-25|W1</v>
      </c>
      <c r="C11">
        <v>3</v>
      </c>
      <c r="D11" t="s">
        <v>102</v>
      </c>
      <c r="E11">
        <v>2025</v>
      </c>
      <c r="F11" t="s">
        <v>97</v>
      </c>
      <c r="G11" t="str">
        <f t="shared" si="6"/>
        <v>W9</v>
      </c>
      <c r="H11" s="3">
        <f>I11-6</f>
        <v>45712</v>
      </c>
      <c r="I11" s="3">
        <f>H12-1</f>
        <v>45718</v>
      </c>
      <c r="J11" s="1">
        <f t="shared" si="4"/>
        <v>2</v>
      </c>
      <c r="K11" s="1">
        <f t="shared" si="5"/>
        <v>5</v>
      </c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>
        <v>56</v>
      </c>
      <c r="W11" s="26">
        <v>56</v>
      </c>
    </row>
    <row r="12" spans="1:23" x14ac:dyDescent="0.3">
      <c r="A12" t="str">
        <f t="shared" si="0"/>
        <v>Mar-25</v>
      </c>
      <c r="B12" t="str">
        <f t="shared" si="1"/>
        <v>Mar-25|W2</v>
      </c>
      <c r="C12">
        <v>3</v>
      </c>
      <c r="D12" t="s">
        <v>102</v>
      </c>
      <c r="E12">
        <v>2025</v>
      </c>
      <c r="F12" t="s">
        <v>98</v>
      </c>
      <c r="G12" t="str">
        <f t="shared" si="6"/>
        <v>W10</v>
      </c>
      <c r="H12" s="3">
        <f>I12-6</f>
        <v>45719</v>
      </c>
      <c r="I12" s="3">
        <f>H13-1</f>
        <v>45725</v>
      </c>
      <c r="J12" s="1">
        <f t="shared" si="4"/>
        <v>7</v>
      </c>
      <c r="K12" s="1">
        <f t="shared" si="5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>
        <v>56</v>
      </c>
      <c r="W12" s="26">
        <v>56</v>
      </c>
    </row>
    <row r="13" spans="1:23" x14ac:dyDescent="0.3">
      <c r="A13" t="str">
        <f t="shared" si="0"/>
        <v>Mar-25</v>
      </c>
      <c r="B13" t="str">
        <f t="shared" si="1"/>
        <v>Mar-25|W3</v>
      </c>
      <c r="C13">
        <v>3</v>
      </c>
      <c r="D13" t="s">
        <v>102</v>
      </c>
      <c r="E13">
        <v>2025</v>
      </c>
      <c r="F13" t="s">
        <v>99</v>
      </c>
      <c r="G13" t="str">
        <f t="shared" si="6"/>
        <v>W11</v>
      </c>
      <c r="H13" s="3">
        <f>I13-6</f>
        <v>45726</v>
      </c>
      <c r="I13" s="3">
        <f>H14-1</f>
        <v>45732</v>
      </c>
      <c r="J13" s="1">
        <f t="shared" si="4"/>
        <v>7</v>
      </c>
      <c r="K13" s="1">
        <f t="shared" si="5"/>
        <v>0</v>
      </c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>
        <v>56</v>
      </c>
      <c r="W13" s="26">
        <v>56</v>
      </c>
    </row>
    <row r="14" spans="1:23" x14ac:dyDescent="0.3">
      <c r="A14" t="str">
        <f t="shared" si="0"/>
        <v>Mar-25</v>
      </c>
      <c r="B14" t="str">
        <f t="shared" si="1"/>
        <v>Mar-25|W4</v>
      </c>
      <c r="C14">
        <v>3</v>
      </c>
      <c r="D14" t="s">
        <v>102</v>
      </c>
      <c r="E14">
        <v>2025</v>
      </c>
      <c r="F14" t="s">
        <v>100</v>
      </c>
      <c r="G14" t="str">
        <f t="shared" si="6"/>
        <v>W12</v>
      </c>
      <c r="H14" s="3">
        <f>I14-6</f>
        <v>45733</v>
      </c>
      <c r="I14" s="3">
        <f>H15-1</f>
        <v>45739</v>
      </c>
      <c r="J14" s="1">
        <f t="shared" si="4"/>
        <v>7</v>
      </c>
      <c r="K14" s="1">
        <f t="shared" si="5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>
        <v>56</v>
      </c>
      <c r="W14" s="26">
        <v>56</v>
      </c>
    </row>
    <row r="15" spans="1:23" x14ac:dyDescent="0.3">
      <c r="A15" t="str">
        <f t="shared" si="0"/>
        <v>Mar-25</v>
      </c>
      <c r="B15" t="str">
        <f t="shared" si="1"/>
        <v>Mar-25|W5</v>
      </c>
      <c r="C15">
        <v>3</v>
      </c>
      <c r="D15" t="s">
        <v>102</v>
      </c>
      <c r="E15">
        <v>2025</v>
      </c>
      <c r="F15" t="s">
        <v>103</v>
      </c>
      <c r="G15" t="str">
        <f t="shared" si="6"/>
        <v>W13</v>
      </c>
      <c r="H15" s="3">
        <f>I15-6</f>
        <v>45740</v>
      </c>
      <c r="I15" s="3">
        <f>H16-1</f>
        <v>45746</v>
      </c>
      <c r="J15" s="1">
        <f t="shared" si="4"/>
        <v>7</v>
      </c>
      <c r="K15" s="1">
        <f t="shared" si="5"/>
        <v>0</v>
      </c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>
        <v>56</v>
      </c>
      <c r="W15" s="26">
        <v>56</v>
      </c>
    </row>
    <row r="16" spans="1:23" x14ac:dyDescent="0.3">
      <c r="A16" t="str">
        <f t="shared" ref="A16:A79" si="7">D16&amp;"-"&amp;RIGHT(E16,2)</f>
        <v>Apr-25</v>
      </c>
      <c r="B16" t="str">
        <f t="shared" ref="B16:B79" si="8">A16&amp;"|"&amp;F16</f>
        <v>Apr-25|W1</v>
      </c>
      <c r="C16">
        <v>4</v>
      </c>
      <c r="D16" t="s">
        <v>104</v>
      </c>
      <c r="E16">
        <v>2025</v>
      </c>
      <c r="F16" t="s">
        <v>97</v>
      </c>
      <c r="G16" t="str">
        <f t="shared" ref="G16:G54" si="9">"W"&amp;WEEKNUM(H16)</f>
        <v>W14</v>
      </c>
      <c r="H16" s="3">
        <v>45747</v>
      </c>
      <c r="I16" s="3">
        <f>H16+6</f>
        <v>45753</v>
      </c>
      <c r="J16" s="1">
        <f t="shared" ref="J16:J79" si="10">IF(NOT(MONTH(H16)=MONTH(I16)),I16-DATE(E16,C16,1)+1,
    IF(MONTH(I16)=C16-1, 0,7))</f>
        <v>6</v>
      </c>
      <c r="K16" s="1">
        <f>7-J16</f>
        <v>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>
        <v>56</v>
      </c>
      <c r="W16" s="26">
        <v>56</v>
      </c>
    </row>
    <row r="17" spans="1:23" x14ac:dyDescent="0.3">
      <c r="A17" t="str">
        <f t="shared" si="7"/>
        <v>Apr-25</v>
      </c>
      <c r="B17" t="str">
        <f t="shared" si="8"/>
        <v>Apr-25|W2</v>
      </c>
      <c r="C17">
        <v>4</v>
      </c>
      <c r="D17" t="s">
        <v>104</v>
      </c>
      <c r="E17">
        <v>2025</v>
      </c>
      <c r="F17" t="s">
        <v>98</v>
      </c>
      <c r="G17" t="str">
        <f t="shared" si="9"/>
        <v>W15</v>
      </c>
      <c r="H17" s="3">
        <f>I16+1</f>
        <v>45754</v>
      </c>
      <c r="I17" s="3">
        <f>H17+6</f>
        <v>45760</v>
      </c>
      <c r="J17" s="1">
        <f t="shared" si="10"/>
        <v>7</v>
      </c>
      <c r="K17" s="1">
        <f t="shared" ref="K17:K80" si="11">7-J17</f>
        <v>0</v>
      </c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>
        <v>56</v>
      </c>
      <c r="W17" s="26">
        <v>56</v>
      </c>
    </row>
    <row r="18" spans="1:23" x14ac:dyDescent="0.3">
      <c r="A18" t="str">
        <f t="shared" si="7"/>
        <v>Apr-25</v>
      </c>
      <c r="B18" t="str">
        <f t="shared" si="8"/>
        <v>Apr-25|W3</v>
      </c>
      <c r="C18">
        <v>4</v>
      </c>
      <c r="D18" t="s">
        <v>104</v>
      </c>
      <c r="E18">
        <v>2025</v>
      </c>
      <c r="F18" t="s">
        <v>99</v>
      </c>
      <c r="G18" t="str">
        <f t="shared" si="9"/>
        <v>W16</v>
      </c>
      <c r="H18" s="3">
        <f t="shared" ref="H18:H81" si="12">I17+1</f>
        <v>45761</v>
      </c>
      <c r="I18" s="3">
        <f t="shared" ref="I18:I81" si="13">H18+6</f>
        <v>45767</v>
      </c>
      <c r="J18" s="1">
        <f t="shared" si="10"/>
        <v>7</v>
      </c>
      <c r="K18" s="1">
        <f t="shared" si="11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>
        <v>56</v>
      </c>
      <c r="W18" s="26">
        <v>56</v>
      </c>
    </row>
    <row r="19" spans="1:23" x14ac:dyDescent="0.3">
      <c r="A19" t="str">
        <f t="shared" si="7"/>
        <v>Apr-25</v>
      </c>
      <c r="B19" t="str">
        <f t="shared" si="8"/>
        <v>Apr-25|W4</v>
      </c>
      <c r="C19">
        <v>4</v>
      </c>
      <c r="D19" t="s">
        <v>104</v>
      </c>
      <c r="E19">
        <v>2025</v>
      </c>
      <c r="F19" t="s">
        <v>100</v>
      </c>
      <c r="G19" t="str">
        <f t="shared" si="9"/>
        <v>W17</v>
      </c>
      <c r="H19" s="3">
        <f t="shared" si="12"/>
        <v>45768</v>
      </c>
      <c r="I19" s="3">
        <f t="shared" si="13"/>
        <v>45774</v>
      </c>
      <c r="J19" s="1">
        <f t="shared" si="10"/>
        <v>7</v>
      </c>
      <c r="K19" s="1">
        <f t="shared" si="11"/>
        <v>0</v>
      </c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>
        <v>56</v>
      </c>
      <c r="W19" s="26">
        <v>56</v>
      </c>
    </row>
    <row r="20" spans="1:23" x14ac:dyDescent="0.3">
      <c r="A20" t="str">
        <f t="shared" si="7"/>
        <v>May-25</v>
      </c>
      <c r="B20" t="str">
        <f t="shared" si="8"/>
        <v>May-25|W1</v>
      </c>
      <c r="C20">
        <v>5</v>
      </c>
      <c r="D20" t="s">
        <v>105</v>
      </c>
      <c r="E20">
        <v>2025</v>
      </c>
      <c r="F20" t="s">
        <v>97</v>
      </c>
      <c r="G20" t="str">
        <f t="shared" si="9"/>
        <v>W18</v>
      </c>
      <c r="H20" s="3">
        <f t="shared" si="12"/>
        <v>45775</v>
      </c>
      <c r="I20" s="3">
        <f t="shared" si="13"/>
        <v>45781</v>
      </c>
      <c r="J20" s="1">
        <f t="shared" si="10"/>
        <v>4</v>
      </c>
      <c r="K20" s="1">
        <f t="shared" si="11"/>
        <v>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>
        <v>56</v>
      </c>
      <c r="W20" s="26">
        <v>56</v>
      </c>
    </row>
    <row r="21" spans="1:23" x14ac:dyDescent="0.3">
      <c r="A21" t="str">
        <f t="shared" si="7"/>
        <v>May-25</v>
      </c>
      <c r="B21" t="str">
        <f t="shared" si="8"/>
        <v>May-25|W2</v>
      </c>
      <c r="C21">
        <v>5</v>
      </c>
      <c r="D21" t="s">
        <v>105</v>
      </c>
      <c r="E21">
        <v>2025</v>
      </c>
      <c r="F21" t="s">
        <v>98</v>
      </c>
      <c r="G21" t="str">
        <f t="shared" si="9"/>
        <v>W19</v>
      </c>
      <c r="H21" s="3">
        <f t="shared" si="12"/>
        <v>45782</v>
      </c>
      <c r="I21" s="3">
        <f t="shared" si="13"/>
        <v>45788</v>
      </c>
      <c r="J21" s="1">
        <f t="shared" si="10"/>
        <v>7</v>
      </c>
      <c r="K21" s="1">
        <f t="shared" si="11"/>
        <v>0</v>
      </c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>
        <v>56</v>
      </c>
      <c r="W21" s="26">
        <v>56</v>
      </c>
    </row>
    <row r="22" spans="1:23" x14ac:dyDescent="0.3">
      <c r="A22" t="str">
        <f t="shared" si="7"/>
        <v>May-25</v>
      </c>
      <c r="B22" t="str">
        <f t="shared" si="8"/>
        <v>May-25|W3</v>
      </c>
      <c r="C22">
        <v>5</v>
      </c>
      <c r="D22" t="s">
        <v>105</v>
      </c>
      <c r="E22">
        <v>2025</v>
      </c>
      <c r="F22" t="s">
        <v>99</v>
      </c>
      <c r="G22" t="str">
        <f t="shared" si="9"/>
        <v>W20</v>
      </c>
      <c r="H22" s="3">
        <f t="shared" si="12"/>
        <v>45789</v>
      </c>
      <c r="I22" s="3">
        <f t="shared" si="13"/>
        <v>45795</v>
      </c>
      <c r="J22" s="1">
        <f t="shared" si="10"/>
        <v>7</v>
      </c>
      <c r="K22" s="1">
        <f t="shared" si="11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>
        <v>56</v>
      </c>
      <c r="W22" s="26">
        <v>56</v>
      </c>
    </row>
    <row r="23" spans="1:23" x14ac:dyDescent="0.3">
      <c r="A23" t="str">
        <f t="shared" si="7"/>
        <v>May-25</v>
      </c>
      <c r="B23" t="str">
        <f t="shared" si="8"/>
        <v>May-25|W4</v>
      </c>
      <c r="C23">
        <v>5</v>
      </c>
      <c r="D23" t="s">
        <v>105</v>
      </c>
      <c r="E23">
        <v>2025</v>
      </c>
      <c r="F23" t="s">
        <v>100</v>
      </c>
      <c r="G23" t="str">
        <f t="shared" si="9"/>
        <v>W21</v>
      </c>
      <c r="H23" s="3">
        <f t="shared" si="12"/>
        <v>45796</v>
      </c>
      <c r="I23" s="3">
        <f t="shared" si="13"/>
        <v>45802</v>
      </c>
      <c r="J23" s="1">
        <f t="shared" si="10"/>
        <v>7</v>
      </c>
      <c r="K23" s="1">
        <f t="shared" si="11"/>
        <v>0</v>
      </c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>
        <v>56</v>
      </c>
      <c r="W23" s="26">
        <v>56</v>
      </c>
    </row>
    <row r="24" spans="1:23" x14ac:dyDescent="0.3">
      <c r="A24" t="str">
        <f t="shared" si="7"/>
        <v>Jun-25</v>
      </c>
      <c r="B24" t="str">
        <f t="shared" si="8"/>
        <v>Jun-25|W1</v>
      </c>
      <c r="C24">
        <v>6</v>
      </c>
      <c r="D24" t="s">
        <v>106</v>
      </c>
      <c r="E24">
        <v>2025</v>
      </c>
      <c r="F24" t="s">
        <v>97</v>
      </c>
      <c r="G24" t="str">
        <f t="shared" si="9"/>
        <v>W22</v>
      </c>
      <c r="H24" s="3">
        <f t="shared" si="12"/>
        <v>45803</v>
      </c>
      <c r="I24" s="3">
        <f t="shared" si="13"/>
        <v>45809</v>
      </c>
      <c r="J24" s="1">
        <f t="shared" si="10"/>
        <v>1</v>
      </c>
      <c r="K24" s="1">
        <f t="shared" si="11"/>
        <v>6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>
        <v>56</v>
      </c>
      <c r="W24" s="26">
        <v>56</v>
      </c>
    </row>
    <row r="25" spans="1:23" x14ac:dyDescent="0.3">
      <c r="A25" t="str">
        <f t="shared" si="7"/>
        <v>Jun-25</v>
      </c>
      <c r="B25" t="str">
        <f t="shared" si="8"/>
        <v>Jun-25|W2</v>
      </c>
      <c r="C25">
        <v>6</v>
      </c>
      <c r="D25" t="s">
        <v>106</v>
      </c>
      <c r="E25">
        <v>2025</v>
      </c>
      <c r="F25" t="s">
        <v>98</v>
      </c>
      <c r="G25" t="str">
        <f t="shared" si="9"/>
        <v>W23</v>
      </c>
      <c r="H25" s="3">
        <f t="shared" si="12"/>
        <v>45810</v>
      </c>
      <c r="I25" s="3">
        <f t="shared" si="13"/>
        <v>45816</v>
      </c>
      <c r="J25" s="1">
        <f t="shared" si="10"/>
        <v>7</v>
      </c>
      <c r="K25" s="1">
        <f t="shared" si="11"/>
        <v>0</v>
      </c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>
        <v>56</v>
      </c>
      <c r="W25" s="26">
        <v>56</v>
      </c>
    </row>
    <row r="26" spans="1:23" x14ac:dyDescent="0.3">
      <c r="A26" t="str">
        <f t="shared" si="7"/>
        <v>Jun-25</v>
      </c>
      <c r="B26" t="str">
        <f t="shared" si="8"/>
        <v>Jun-25|W3</v>
      </c>
      <c r="C26">
        <v>6</v>
      </c>
      <c r="D26" t="s">
        <v>106</v>
      </c>
      <c r="E26">
        <v>2025</v>
      </c>
      <c r="F26" t="s">
        <v>99</v>
      </c>
      <c r="G26" t="str">
        <f t="shared" si="9"/>
        <v>W24</v>
      </c>
      <c r="H26" s="3">
        <f t="shared" si="12"/>
        <v>45817</v>
      </c>
      <c r="I26" s="3">
        <f t="shared" si="13"/>
        <v>45823</v>
      </c>
      <c r="J26" s="1">
        <f t="shared" si="10"/>
        <v>7</v>
      </c>
      <c r="K26" s="1">
        <f t="shared" si="11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>
        <v>56</v>
      </c>
      <c r="W26" s="26">
        <v>56</v>
      </c>
    </row>
    <row r="27" spans="1:23" x14ac:dyDescent="0.3">
      <c r="A27" t="str">
        <f t="shared" si="7"/>
        <v>Jun-25</v>
      </c>
      <c r="B27" t="str">
        <f t="shared" si="8"/>
        <v>Jun-25|W4</v>
      </c>
      <c r="C27">
        <v>6</v>
      </c>
      <c r="D27" t="s">
        <v>106</v>
      </c>
      <c r="E27">
        <v>2025</v>
      </c>
      <c r="F27" t="s">
        <v>100</v>
      </c>
      <c r="G27" t="str">
        <f t="shared" si="9"/>
        <v>W25</v>
      </c>
      <c r="H27" s="3">
        <f t="shared" si="12"/>
        <v>45824</v>
      </c>
      <c r="I27" s="3">
        <f t="shared" si="13"/>
        <v>45830</v>
      </c>
      <c r="J27" s="1">
        <f t="shared" si="10"/>
        <v>7</v>
      </c>
      <c r="K27" s="1">
        <f t="shared" si="11"/>
        <v>0</v>
      </c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>
        <v>56</v>
      </c>
      <c r="W27" s="26">
        <v>56</v>
      </c>
    </row>
    <row r="28" spans="1:23" x14ac:dyDescent="0.3">
      <c r="A28" t="str">
        <f t="shared" si="7"/>
        <v>Jun-25</v>
      </c>
      <c r="B28" t="str">
        <f t="shared" si="8"/>
        <v>Jun-25|W5</v>
      </c>
      <c r="C28">
        <v>6</v>
      </c>
      <c r="D28" t="s">
        <v>106</v>
      </c>
      <c r="E28">
        <v>2025</v>
      </c>
      <c r="F28" t="s">
        <v>103</v>
      </c>
      <c r="G28" t="str">
        <f t="shared" si="9"/>
        <v>W26</v>
      </c>
      <c r="H28" s="3">
        <f t="shared" si="12"/>
        <v>45831</v>
      </c>
      <c r="I28" s="3">
        <f t="shared" si="13"/>
        <v>45837</v>
      </c>
      <c r="J28" s="1">
        <f t="shared" si="10"/>
        <v>7</v>
      </c>
      <c r="K28" s="1">
        <f t="shared" si="11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>
        <v>56</v>
      </c>
      <c r="W28" s="26">
        <v>56</v>
      </c>
    </row>
    <row r="29" spans="1:23" x14ac:dyDescent="0.3">
      <c r="A29" t="str">
        <f t="shared" si="7"/>
        <v>Jul-25</v>
      </c>
      <c r="B29" t="str">
        <f t="shared" si="8"/>
        <v>Jul-25|W1</v>
      </c>
      <c r="C29">
        <v>7</v>
      </c>
      <c r="D29" t="s">
        <v>107</v>
      </c>
      <c r="E29">
        <v>2025</v>
      </c>
      <c r="F29" t="s">
        <v>97</v>
      </c>
      <c r="G29" t="str">
        <f t="shared" si="9"/>
        <v>W27</v>
      </c>
      <c r="H29" s="3">
        <f t="shared" si="12"/>
        <v>45838</v>
      </c>
      <c r="I29" s="3">
        <f t="shared" si="13"/>
        <v>45844</v>
      </c>
      <c r="J29" s="1">
        <f t="shared" si="10"/>
        <v>6</v>
      </c>
      <c r="K29" s="1">
        <f t="shared" si="11"/>
        <v>1</v>
      </c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>
        <v>56</v>
      </c>
      <c r="W29" s="26">
        <v>56</v>
      </c>
    </row>
    <row r="30" spans="1:23" x14ac:dyDescent="0.3">
      <c r="A30" t="str">
        <f t="shared" si="7"/>
        <v>Jul-25</v>
      </c>
      <c r="B30" t="str">
        <f t="shared" si="8"/>
        <v>Jul-25|W2</v>
      </c>
      <c r="C30">
        <v>7</v>
      </c>
      <c r="D30" t="s">
        <v>107</v>
      </c>
      <c r="E30">
        <v>2025</v>
      </c>
      <c r="F30" t="s">
        <v>98</v>
      </c>
      <c r="G30" t="str">
        <f t="shared" si="9"/>
        <v>W28</v>
      </c>
      <c r="H30" s="3">
        <f t="shared" si="12"/>
        <v>45845</v>
      </c>
      <c r="I30" s="3">
        <f t="shared" si="13"/>
        <v>45851</v>
      </c>
      <c r="J30" s="1">
        <f t="shared" si="10"/>
        <v>7</v>
      </c>
      <c r="K30" s="1">
        <f t="shared" si="11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>
        <v>56</v>
      </c>
      <c r="W30" s="26">
        <v>56</v>
      </c>
    </row>
    <row r="31" spans="1:23" x14ac:dyDescent="0.3">
      <c r="A31" t="str">
        <f t="shared" si="7"/>
        <v>Jul-25</v>
      </c>
      <c r="B31" t="str">
        <f t="shared" si="8"/>
        <v>Jul-25|W3</v>
      </c>
      <c r="C31">
        <v>7</v>
      </c>
      <c r="D31" t="s">
        <v>107</v>
      </c>
      <c r="E31">
        <v>2025</v>
      </c>
      <c r="F31" t="s">
        <v>99</v>
      </c>
      <c r="G31" t="str">
        <f t="shared" si="9"/>
        <v>W29</v>
      </c>
      <c r="H31" s="3">
        <f t="shared" si="12"/>
        <v>45852</v>
      </c>
      <c r="I31" s="3">
        <f t="shared" si="13"/>
        <v>45858</v>
      </c>
      <c r="J31" s="1">
        <f t="shared" si="10"/>
        <v>7</v>
      </c>
      <c r="K31" s="1">
        <f t="shared" si="11"/>
        <v>0</v>
      </c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>
        <v>56</v>
      </c>
      <c r="W31" s="26">
        <v>56</v>
      </c>
    </row>
    <row r="32" spans="1:23" x14ac:dyDescent="0.3">
      <c r="A32" t="str">
        <f t="shared" si="7"/>
        <v>Jul-25</v>
      </c>
      <c r="B32" t="str">
        <f t="shared" si="8"/>
        <v>Jul-25|W4</v>
      </c>
      <c r="C32">
        <v>7</v>
      </c>
      <c r="D32" t="s">
        <v>107</v>
      </c>
      <c r="E32">
        <v>2025</v>
      </c>
      <c r="F32" t="s">
        <v>100</v>
      </c>
      <c r="G32" t="str">
        <f t="shared" si="9"/>
        <v>W30</v>
      </c>
      <c r="H32" s="3">
        <f t="shared" si="12"/>
        <v>45859</v>
      </c>
      <c r="I32" s="3">
        <f t="shared" si="13"/>
        <v>45865</v>
      </c>
      <c r="J32" s="1">
        <f t="shared" si="10"/>
        <v>7</v>
      </c>
      <c r="K32" s="1">
        <f t="shared" si="11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>
        <v>56</v>
      </c>
      <c r="W32" s="26">
        <v>56</v>
      </c>
    </row>
    <row r="33" spans="1:23" x14ac:dyDescent="0.3">
      <c r="A33" t="str">
        <f t="shared" si="7"/>
        <v>Aug-25</v>
      </c>
      <c r="B33" t="str">
        <f t="shared" si="8"/>
        <v>Aug-25|W1</v>
      </c>
      <c r="C33">
        <v>8</v>
      </c>
      <c r="D33" t="s">
        <v>108</v>
      </c>
      <c r="E33">
        <v>2025</v>
      </c>
      <c r="F33" t="s">
        <v>97</v>
      </c>
      <c r="G33" t="str">
        <f t="shared" si="9"/>
        <v>W31</v>
      </c>
      <c r="H33" s="3">
        <f t="shared" si="12"/>
        <v>45866</v>
      </c>
      <c r="I33" s="3">
        <f t="shared" si="13"/>
        <v>45872</v>
      </c>
      <c r="J33" s="1">
        <f t="shared" si="10"/>
        <v>3</v>
      </c>
      <c r="K33" s="1">
        <f t="shared" si="11"/>
        <v>4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>
        <v>56</v>
      </c>
      <c r="W33" s="26">
        <v>56</v>
      </c>
    </row>
    <row r="34" spans="1:23" x14ac:dyDescent="0.3">
      <c r="A34" t="str">
        <f t="shared" si="7"/>
        <v>Aug-25</v>
      </c>
      <c r="B34" t="str">
        <f t="shared" si="8"/>
        <v>Aug-25|W2</v>
      </c>
      <c r="C34">
        <v>8</v>
      </c>
      <c r="D34" t="s">
        <v>108</v>
      </c>
      <c r="E34">
        <v>2025</v>
      </c>
      <c r="F34" t="s">
        <v>98</v>
      </c>
      <c r="G34" t="str">
        <f t="shared" si="9"/>
        <v>W32</v>
      </c>
      <c r="H34" s="3">
        <f t="shared" si="12"/>
        <v>45873</v>
      </c>
      <c r="I34" s="3">
        <f t="shared" si="13"/>
        <v>45879</v>
      </c>
      <c r="J34" s="1">
        <f t="shared" si="10"/>
        <v>7</v>
      </c>
      <c r="K34" s="1">
        <f t="shared" si="11"/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>
        <v>56</v>
      </c>
      <c r="W34" s="26">
        <v>56</v>
      </c>
    </row>
    <row r="35" spans="1:23" x14ac:dyDescent="0.3">
      <c r="A35" t="str">
        <f t="shared" si="7"/>
        <v>Aug-25</v>
      </c>
      <c r="B35" t="str">
        <f t="shared" si="8"/>
        <v>Aug-25|W3</v>
      </c>
      <c r="C35">
        <v>8</v>
      </c>
      <c r="D35" t="s">
        <v>108</v>
      </c>
      <c r="E35">
        <v>2025</v>
      </c>
      <c r="F35" t="s">
        <v>99</v>
      </c>
      <c r="G35" t="str">
        <f t="shared" si="9"/>
        <v>W33</v>
      </c>
      <c r="H35" s="3">
        <f t="shared" si="12"/>
        <v>45880</v>
      </c>
      <c r="I35" s="3">
        <f t="shared" si="13"/>
        <v>45886</v>
      </c>
      <c r="J35" s="1">
        <f t="shared" si="10"/>
        <v>7</v>
      </c>
      <c r="K35" s="1">
        <f t="shared" si="11"/>
        <v>0</v>
      </c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>
        <v>80</v>
      </c>
      <c r="W35" s="26">
        <v>80</v>
      </c>
    </row>
    <row r="36" spans="1:23" x14ac:dyDescent="0.3">
      <c r="A36" t="str">
        <f t="shared" si="7"/>
        <v>Aug-25</v>
      </c>
      <c r="B36" t="str">
        <f t="shared" si="8"/>
        <v>Aug-25|W4</v>
      </c>
      <c r="C36">
        <v>8</v>
      </c>
      <c r="D36" t="s">
        <v>108</v>
      </c>
      <c r="E36">
        <v>2025</v>
      </c>
      <c r="F36" t="s">
        <v>100</v>
      </c>
      <c r="G36" t="str">
        <f t="shared" si="9"/>
        <v>W34</v>
      </c>
      <c r="H36" s="3">
        <f t="shared" si="12"/>
        <v>45887</v>
      </c>
      <c r="I36" s="3">
        <f t="shared" si="13"/>
        <v>45893</v>
      </c>
      <c r="J36" s="1">
        <f t="shared" si="10"/>
        <v>7</v>
      </c>
      <c r="K36" s="1">
        <f t="shared" si="1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>
        <v>56</v>
      </c>
      <c r="W36" s="26">
        <v>56</v>
      </c>
    </row>
    <row r="37" spans="1:23" x14ac:dyDescent="0.3">
      <c r="A37" t="str">
        <f t="shared" si="7"/>
        <v>Sep-25</v>
      </c>
      <c r="B37" t="str">
        <f t="shared" si="8"/>
        <v>Sep-25|W1</v>
      </c>
      <c r="C37">
        <v>9</v>
      </c>
      <c r="D37" t="s">
        <v>109</v>
      </c>
      <c r="E37">
        <v>2025</v>
      </c>
      <c r="F37" t="s">
        <v>97</v>
      </c>
      <c r="G37" t="str">
        <f t="shared" si="9"/>
        <v>W35</v>
      </c>
      <c r="H37" s="3">
        <f t="shared" si="12"/>
        <v>45894</v>
      </c>
      <c r="I37" s="3">
        <f t="shared" si="13"/>
        <v>45900</v>
      </c>
      <c r="J37" s="1">
        <f t="shared" si="10"/>
        <v>0</v>
      </c>
      <c r="K37" s="1">
        <f t="shared" si="11"/>
        <v>7</v>
      </c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>
        <v>56</v>
      </c>
      <c r="W37" s="26">
        <v>56</v>
      </c>
    </row>
    <row r="38" spans="1:23" x14ac:dyDescent="0.3">
      <c r="A38" t="str">
        <f t="shared" si="7"/>
        <v>Sep-25</v>
      </c>
      <c r="B38" t="str">
        <f t="shared" si="8"/>
        <v>Sep-25|W2</v>
      </c>
      <c r="C38">
        <v>9</v>
      </c>
      <c r="D38" t="s">
        <v>109</v>
      </c>
      <c r="E38">
        <v>2025</v>
      </c>
      <c r="F38" t="s">
        <v>98</v>
      </c>
      <c r="G38" t="str">
        <f t="shared" si="9"/>
        <v>W36</v>
      </c>
      <c r="H38" s="3">
        <f t="shared" si="12"/>
        <v>45901</v>
      </c>
      <c r="I38" s="3">
        <f t="shared" si="13"/>
        <v>45907</v>
      </c>
      <c r="J38" s="1">
        <f t="shared" si="10"/>
        <v>7</v>
      </c>
      <c r="K38" s="1">
        <f t="shared" si="1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>
        <v>56</v>
      </c>
      <c r="W38" s="26">
        <v>56</v>
      </c>
    </row>
    <row r="39" spans="1:23" x14ac:dyDescent="0.3">
      <c r="A39" t="str">
        <f t="shared" si="7"/>
        <v>Sep-25</v>
      </c>
      <c r="B39" t="str">
        <f t="shared" si="8"/>
        <v>Sep-25|W3</v>
      </c>
      <c r="C39">
        <v>9</v>
      </c>
      <c r="D39" t="s">
        <v>109</v>
      </c>
      <c r="E39">
        <v>2025</v>
      </c>
      <c r="F39" t="s">
        <v>99</v>
      </c>
      <c r="G39" t="str">
        <f t="shared" si="9"/>
        <v>W37</v>
      </c>
      <c r="H39" s="3">
        <f t="shared" si="12"/>
        <v>45908</v>
      </c>
      <c r="I39" s="3">
        <f t="shared" si="13"/>
        <v>45914</v>
      </c>
      <c r="J39" s="1">
        <f t="shared" si="10"/>
        <v>7</v>
      </c>
      <c r="K39" s="1">
        <f t="shared" si="11"/>
        <v>0</v>
      </c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>
        <v>56</v>
      </c>
      <c r="W39" s="26">
        <v>56</v>
      </c>
    </row>
    <row r="40" spans="1:23" x14ac:dyDescent="0.3">
      <c r="A40" t="str">
        <f t="shared" si="7"/>
        <v>Sep-25</v>
      </c>
      <c r="B40" t="str">
        <f t="shared" si="8"/>
        <v>Sep-25|W4</v>
      </c>
      <c r="C40">
        <v>9</v>
      </c>
      <c r="D40" t="s">
        <v>109</v>
      </c>
      <c r="E40">
        <v>2025</v>
      </c>
      <c r="F40" t="s">
        <v>100</v>
      </c>
      <c r="G40" t="str">
        <f t="shared" si="9"/>
        <v>W38</v>
      </c>
      <c r="H40" s="3">
        <f t="shared" si="12"/>
        <v>45915</v>
      </c>
      <c r="I40" s="3">
        <f t="shared" si="13"/>
        <v>45921</v>
      </c>
      <c r="J40" s="1">
        <f t="shared" si="10"/>
        <v>7</v>
      </c>
      <c r="K40" s="1">
        <f t="shared" si="1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>
        <v>56</v>
      </c>
      <c r="W40" s="26">
        <v>56</v>
      </c>
    </row>
    <row r="41" spans="1:23" x14ac:dyDescent="0.3">
      <c r="A41" t="str">
        <f t="shared" si="7"/>
        <v>Sep-25</v>
      </c>
      <c r="B41" t="str">
        <f t="shared" si="8"/>
        <v>Sep-25|W5</v>
      </c>
      <c r="C41">
        <v>9</v>
      </c>
      <c r="D41" t="s">
        <v>109</v>
      </c>
      <c r="E41">
        <v>2025</v>
      </c>
      <c r="F41" t="s">
        <v>103</v>
      </c>
      <c r="G41" t="str">
        <f t="shared" si="9"/>
        <v>W39</v>
      </c>
      <c r="H41" s="3">
        <f t="shared" si="12"/>
        <v>45922</v>
      </c>
      <c r="I41" s="3">
        <f t="shared" si="13"/>
        <v>45928</v>
      </c>
      <c r="J41" s="1">
        <f t="shared" si="10"/>
        <v>7</v>
      </c>
      <c r="K41" s="1">
        <f t="shared" si="11"/>
        <v>0</v>
      </c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>
        <v>56</v>
      </c>
      <c r="W41" s="26">
        <v>56</v>
      </c>
    </row>
    <row r="42" spans="1:23" x14ac:dyDescent="0.3">
      <c r="A42" t="str">
        <f t="shared" si="7"/>
        <v>Oct-25</v>
      </c>
      <c r="B42" t="str">
        <f t="shared" si="8"/>
        <v>Oct-25|W1</v>
      </c>
      <c r="C42">
        <v>10</v>
      </c>
      <c r="D42" t="s">
        <v>110</v>
      </c>
      <c r="E42">
        <v>2025</v>
      </c>
      <c r="F42" t="s">
        <v>97</v>
      </c>
      <c r="G42" t="str">
        <f t="shared" si="9"/>
        <v>W40</v>
      </c>
      <c r="H42" s="3">
        <f t="shared" si="12"/>
        <v>45929</v>
      </c>
      <c r="I42" s="3">
        <f t="shared" si="13"/>
        <v>45935</v>
      </c>
      <c r="J42" s="1">
        <f t="shared" si="10"/>
        <v>5</v>
      </c>
      <c r="K42" s="1">
        <f t="shared" si="11"/>
        <v>2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>
        <v>56</v>
      </c>
      <c r="W42" s="26">
        <v>56</v>
      </c>
    </row>
    <row r="43" spans="1:23" x14ac:dyDescent="0.3">
      <c r="A43" t="str">
        <f t="shared" si="7"/>
        <v>Oct-25</v>
      </c>
      <c r="B43" t="str">
        <f t="shared" si="8"/>
        <v>Oct-25|W2</v>
      </c>
      <c r="C43">
        <v>10</v>
      </c>
      <c r="D43" t="s">
        <v>110</v>
      </c>
      <c r="E43">
        <v>2025</v>
      </c>
      <c r="F43" t="s">
        <v>98</v>
      </c>
      <c r="G43" t="str">
        <f t="shared" si="9"/>
        <v>W41</v>
      </c>
      <c r="H43" s="3">
        <f t="shared" si="12"/>
        <v>45936</v>
      </c>
      <c r="I43" s="3">
        <f t="shared" si="13"/>
        <v>45942</v>
      </c>
      <c r="J43" s="1">
        <f t="shared" si="10"/>
        <v>7</v>
      </c>
      <c r="K43" s="1">
        <f t="shared" si="11"/>
        <v>0</v>
      </c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>
        <v>56</v>
      </c>
      <c r="W43" s="26">
        <v>56</v>
      </c>
    </row>
    <row r="44" spans="1:23" x14ac:dyDescent="0.3">
      <c r="A44" t="str">
        <f t="shared" si="7"/>
        <v>Oct-25</v>
      </c>
      <c r="B44" t="str">
        <f t="shared" si="8"/>
        <v>Oct-25|W3</v>
      </c>
      <c r="C44">
        <v>10</v>
      </c>
      <c r="D44" t="s">
        <v>110</v>
      </c>
      <c r="E44">
        <v>2025</v>
      </c>
      <c r="F44" t="s">
        <v>99</v>
      </c>
      <c r="G44" t="str">
        <f t="shared" si="9"/>
        <v>W42</v>
      </c>
      <c r="H44" s="3">
        <f t="shared" si="12"/>
        <v>45943</v>
      </c>
      <c r="I44" s="3">
        <f t="shared" si="13"/>
        <v>45949</v>
      </c>
      <c r="J44" s="1">
        <f t="shared" si="10"/>
        <v>7</v>
      </c>
      <c r="K44" s="1">
        <f t="shared" si="1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>
        <v>56</v>
      </c>
      <c r="W44" s="26">
        <v>56</v>
      </c>
    </row>
    <row r="45" spans="1:23" x14ac:dyDescent="0.3">
      <c r="A45" t="str">
        <f t="shared" si="7"/>
        <v>Oct-25</v>
      </c>
      <c r="B45" t="str">
        <f t="shared" si="8"/>
        <v>Oct-25|W4</v>
      </c>
      <c r="C45">
        <v>10</v>
      </c>
      <c r="D45" t="s">
        <v>110</v>
      </c>
      <c r="E45">
        <v>2025</v>
      </c>
      <c r="F45" t="s">
        <v>100</v>
      </c>
      <c r="G45" t="str">
        <f t="shared" si="9"/>
        <v>W43</v>
      </c>
      <c r="H45" s="3">
        <f t="shared" si="12"/>
        <v>45950</v>
      </c>
      <c r="I45" s="3">
        <f t="shared" si="13"/>
        <v>45956</v>
      </c>
      <c r="J45" s="1">
        <f t="shared" si="10"/>
        <v>7</v>
      </c>
      <c r="K45" s="1">
        <f t="shared" si="11"/>
        <v>0</v>
      </c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>
        <v>56</v>
      </c>
      <c r="W45" s="26">
        <v>56</v>
      </c>
    </row>
    <row r="46" spans="1:23" x14ac:dyDescent="0.3">
      <c r="A46" t="str">
        <f t="shared" si="7"/>
        <v>Nov-25</v>
      </c>
      <c r="B46" t="str">
        <f t="shared" si="8"/>
        <v>Nov-25|W1</v>
      </c>
      <c r="C46">
        <v>11</v>
      </c>
      <c r="D46" t="s">
        <v>111</v>
      </c>
      <c r="E46">
        <v>2025</v>
      </c>
      <c r="F46" t="s">
        <v>97</v>
      </c>
      <c r="G46" t="str">
        <f t="shared" si="9"/>
        <v>W44</v>
      </c>
      <c r="H46" s="3">
        <f t="shared" si="12"/>
        <v>45957</v>
      </c>
      <c r="I46" s="3">
        <f t="shared" si="13"/>
        <v>45963</v>
      </c>
      <c r="J46" s="1">
        <f t="shared" si="10"/>
        <v>2</v>
      </c>
      <c r="K46" s="1">
        <f t="shared" si="11"/>
        <v>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>
        <v>56</v>
      </c>
      <c r="W46" s="26">
        <v>56</v>
      </c>
    </row>
    <row r="47" spans="1:23" x14ac:dyDescent="0.3">
      <c r="A47" t="str">
        <f t="shared" si="7"/>
        <v>Nov-25</v>
      </c>
      <c r="B47" t="str">
        <f t="shared" si="8"/>
        <v>Nov-25|W2</v>
      </c>
      <c r="C47">
        <v>11</v>
      </c>
      <c r="D47" t="s">
        <v>111</v>
      </c>
      <c r="E47">
        <v>2025</v>
      </c>
      <c r="F47" t="s">
        <v>98</v>
      </c>
      <c r="G47" t="str">
        <f t="shared" si="9"/>
        <v>W45</v>
      </c>
      <c r="H47" s="3">
        <f t="shared" si="12"/>
        <v>45964</v>
      </c>
      <c r="I47" s="3">
        <f t="shared" si="13"/>
        <v>45970</v>
      </c>
      <c r="J47" s="1">
        <f t="shared" si="10"/>
        <v>7</v>
      </c>
      <c r="K47" s="1">
        <f t="shared" si="11"/>
        <v>0</v>
      </c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>
        <v>56</v>
      </c>
      <c r="W47" s="26">
        <v>56</v>
      </c>
    </row>
    <row r="48" spans="1:23" x14ac:dyDescent="0.3">
      <c r="A48" t="str">
        <f t="shared" si="7"/>
        <v>Nov-25</v>
      </c>
      <c r="B48" t="str">
        <f t="shared" si="8"/>
        <v>Nov-25|W3</v>
      </c>
      <c r="C48">
        <v>11</v>
      </c>
      <c r="D48" t="s">
        <v>111</v>
      </c>
      <c r="E48">
        <v>2025</v>
      </c>
      <c r="F48" t="s">
        <v>99</v>
      </c>
      <c r="G48" t="str">
        <f t="shared" si="9"/>
        <v>W46</v>
      </c>
      <c r="H48" s="3">
        <f t="shared" si="12"/>
        <v>45971</v>
      </c>
      <c r="I48" s="3">
        <f t="shared" si="13"/>
        <v>45977</v>
      </c>
      <c r="J48" s="1">
        <f t="shared" si="10"/>
        <v>7</v>
      </c>
      <c r="K48" s="1">
        <f t="shared" si="1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>
        <v>56</v>
      </c>
      <c r="W48" s="26">
        <v>56</v>
      </c>
    </row>
    <row r="49" spans="1:23" x14ac:dyDescent="0.3">
      <c r="A49" t="str">
        <f t="shared" si="7"/>
        <v>Nov-25</v>
      </c>
      <c r="B49" t="str">
        <f t="shared" si="8"/>
        <v>Nov-25|W4</v>
      </c>
      <c r="C49">
        <v>11</v>
      </c>
      <c r="D49" t="s">
        <v>111</v>
      </c>
      <c r="E49">
        <v>2025</v>
      </c>
      <c r="F49" t="s">
        <v>100</v>
      </c>
      <c r="G49" t="str">
        <f t="shared" si="9"/>
        <v>W47</v>
      </c>
      <c r="H49" s="3">
        <f t="shared" si="12"/>
        <v>45978</v>
      </c>
      <c r="I49" s="3">
        <f t="shared" si="13"/>
        <v>45984</v>
      </c>
      <c r="J49" s="1">
        <f t="shared" si="10"/>
        <v>7</v>
      </c>
      <c r="K49" s="1">
        <f t="shared" si="11"/>
        <v>0</v>
      </c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>
        <v>56</v>
      </c>
      <c r="W49" s="26">
        <v>56</v>
      </c>
    </row>
    <row r="50" spans="1:23" x14ac:dyDescent="0.3">
      <c r="A50" t="str">
        <f t="shared" si="7"/>
        <v>Dec-25</v>
      </c>
      <c r="B50" t="str">
        <f t="shared" si="8"/>
        <v>Dec-25|W1</v>
      </c>
      <c r="C50">
        <v>12</v>
      </c>
      <c r="D50" t="s">
        <v>112</v>
      </c>
      <c r="E50">
        <v>2025</v>
      </c>
      <c r="F50" t="s">
        <v>97</v>
      </c>
      <c r="G50" t="str">
        <f t="shared" si="9"/>
        <v>W48</v>
      </c>
      <c r="H50" s="3">
        <f t="shared" si="12"/>
        <v>45985</v>
      </c>
      <c r="I50" s="3">
        <f t="shared" si="13"/>
        <v>45991</v>
      </c>
      <c r="J50" s="1">
        <f t="shared" si="10"/>
        <v>0</v>
      </c>
      <c r="K50" s="1">
        <f t="shared" si="11"/>
        <v>7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>
        <v>56</v>
      </c>
      <c r="W50" s="26">
        <v>56</v>
      </c>
    </row>
    <row r="51" spans="1:23" x14ac:dyDescent="0.3">
      <c r="A51" t="str">
        <f t="shared" si="7"/>
        <v>Dec-25</v>
      </c>
      <c r="B51" t="str">
        <f t="shared" si="8"/>
        <v>Dec-25|W2</v>
      </c>
      <c r="C51">
        <v>12</v>
      </c>
      <c r="D51" t="s">
        <v>112</v>
      </c>
      <c r="E51">
        <v>2025</v>
      </c>
      <c r="F51" t="s">
        <v>98</v>
      </c>
      <c r="G51" t="str">
        <f t="shared" si="9"/>
        <v>W49</v>
      </c>
      <c r="H51" s="3">
        <f t="shared" si="12"/>
        <v>45992</v>
      </c>
      <c r="I51" s="3">
        <f t="shared" si="13"/>
        <v>45998</v>
      </c>
      <c r="J51" s="1">
        <f t="shared" si="10"/>
        <v>7</v>
      </c>
      <c r="K51" s="1">
        <f t="shared" si="11"/>
        <v>0</v>
      </c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>
        <v>56</v>
      </c>
      <c r="W51" s="26">
        <v>56</v>
      </c>
    </row>
    <row r="52" spans="1:23" x14ac:dyDescent="0.3">
      <c r="A52" t="str">
        <f t="shared" si="7"/>
        <v>Dec-25</v>
      </c>
      <c r="B52" t="str">
        <f t="shared" si="8"/>
        <v>Dec-25|W3</v>
      </c>
      <c r="C52">
        <v>12</v>
      </c>
      <c r="D52" t="s">
        <v>112</v>
      </c>
      <c r="E52">
        <v>2025</v>
      </c>
      <c r="F52" t="s">
        <v>99</v>
      </c>
      <c r="G52" t="str">
        <f t="shared" si="9"/>
        <v>W50</v>
      </c>
      <c r="H52" s="3">
        <f t="shared" si="12"/>
        <v>45999</v>
      </c>
      <c r="I52" s="3">
        <f t="shared" si="13"/>
        <v>46005</v>
      </c>
      <c r="J52" s="1">
        <f t="shared" si="10"/>
        <v>7</v>
      </c>
      <c r="K52" s="1">
        <f t="shared" si="1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>
        <v>56</v>
      </c>
      <c r="W52" s="26">
        <v>56</v>
      </c>
    </row>
    <row r="53" spans="1:23" x14ac:dyDescent="0.3">
      <c r="A53" t="str">
        <f t="shared" si="7"/>
        <v>Dec-25</v>
      </c>
      <c r="B53" t="str">
        <f t="shared" si="8"/>
        <v>Dec-25|W4</v>
      </c>
      <c r="C53">
        <v>12</v>
      </c>
      <c r="D53" t="s">
        <v>112</v>
      </c>
      <c r="E53">
        <v>2025</v>
      </c>
      <c r="F53" t="s">
        <v>100</v>
      </c>
      <c r="G53" t="str">
        <f t="shared" si="9"/>
        <v>W51</v>
      </c>
      <c r="H53" s="3">
        <f t="shared" si="12"/>
        <v>46006</v>
      </c>
      <c r="I53" s="3">
        <f t="shared" si="13"/>
        <v>46012</v>
      </c>
      <c r="J53" s="1">
        <f t="shared" si="10"/>
        <v>7</v>
      </c>
      <c r="K53" s="1">
        <f t="shared" si="11"/>
        <v>0</v>
      </c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>
        <v>56</v>
      </c>
      <c r="W53" s="26">
        <v>56</v>
      </c>
    </row>
    <row r="54" spans="1:23" x14ac:dyDescent="0.3">
      <c r="A54" t="str">
        <f t="shared" si="7"/>
        <v>Dec-25</v>
      </c>
      <c r="B54" t="str">
        <f t="shared" si="8"/>
        <v>Dec-25|W5</v>
      </c>
      <c r="C54">
        <v>12</v>
      </c>
      <c r="D54" t="s">
        <v>112</v>
      </c>
      <c r="E54">
        <v>2025</v>
      </c>
      <c r="F54" t="s">
        <v>103</v>
      </c>
      <c r="G54" t="str">
        <f t="shared" si="9"/>
        <v>W52</v>
      </c>
      <c r="H54" s="3">
        <f t="shared" si="12"/>
        <v>46013</v>
      </c>
      <c r="I54" s="3">
        <f t="shared" si="13"/>
        <v>46019</v>
      </c>
      <c r="J54" s="1">
        <f t="shared" si="10"/>
        <v>7</v>
      </c>
      <c r="K54" s="1">
        <f t="shared" si="1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>
        <v>56</v>
      </c>
      <c r="W54" s="26">
        <v>56</v>
      </c>
    </row>
    <row r="55" spans="1:23" x14ac:dyDescent="0.3">
      <c r="A55" t="str">
        <f t="shared" si="7"/>
        <v>Jan-26</v>
      </c>
      <c r="B55" t="str">
        <f t="shared" si="8"/>
        <v>Jan-26|W1</v>
      </c>
      <c r="C55">
        <v>1</v>
      </c>
      <c r="D55" t="s">
        <v>96</v>
      </c>
      <c r="E55">
        <v>2026</v>
      </c>
      <c r="F55" t="s">
        <v>97</v>
      </c>
      <c r="G55" s="2" t="s">
        <v>97</v>
      </c>
      <c r="H55" s="3">
        <f t="shared" si="12"/>
        <v>46020</v>
      </c>
      <c r="I55" s="3">
        <f t="shared" si="13"/>
        <v>46026</v>
      </c>
      <c r="J55" s="1">
        <f t="shared" si="10"/>
        <v>4</v>
      </c>
      <c r="K55" s="1">
        <f t="shared" si="11"/>
        <v>3</v>
      </c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>
        <v>56</v>
      </c>
      <c r="W55" s="26">
        <v>56</v>
      </c>
    </row>
    <row r="56" spans="1:23" x14ac:dyDescent="0.3">
      <c r="A56" t="str">
        <f t="shared" si="7"/>
        <v>Jan-26</v>
      </c>
      <c r="B56" t="str">
        <f t="shared" si="8"/>
        <v>Jan-26|W2</v>
      </c>
      <c r="C56">
        <v>1</v>
      </c>
      <c r="D56" t="s">
        <v>96</v>
      </c>
      <c r="E56">
        <v>2026</v>
      </c>
      <c r="F56" t="s">
        <v>98</v>
      </c>
      <c r="G56" t="s">
        <v>98</v>
      </c>
      <c r="H56" s="3">
        <f t="shared" si="12"/>
        <v>46027</v>
      </c>
      <c r="I56" s="3">
        <f t="shared" si="13"/>
        <v>46033</v>
      </c>
      <c r="J56" s="1">
        <f t="shared" si="10"/>
        <v>7</v>
      </c>
      <c r="K56" s="1">
        <f t="shared" si="1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>
        <v>56</v>
      </c>
      <c r="W56" s="26">
        <v>56</v>
      </c>
    </row>
    <row r="57" spans="1:23" x14ac:dyDescent="0.3">
      <c r="A57" t="str">
        <f t="shared" si="7"/>
        <v>Jan-26</v>
      </c>
      <c r="B57" t="str">
        <f t="shared" si="8"/>
        <v>Jan-26|W3</v>
      </c>
      <c r="C57">
        <v>1</v>
      </c>
      <c r="D57" t="s">
        <v>96</v>
      </c>
      <c r="E57">
        <v>2026</v>
      </c>
      <c r="F57" t="s">
        <v>99</v>
      </c>
      <c r="G57" t="s">
        <v>99</v>
      </c>
      <c r="H57" s="3">
        <f t="shared" si="12"/>
        <v>46034</v>
      </c>
      <c r="I57" s="3">
        <f t="shared" si="13"/>
        <v>46040</v>
      </c>
      <c r="J57" s="1">
        <f t="shared" si="10"/>
        <v>7</v>
      </c>
      <c r="K57" s="1">
        <f t="shared" si="11"/>
        <v>0</v>
      </c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>
        <v>56</v>
      </c>
      <c r="W57" s="26">
        <v>56</v>
      </c>
    </row>
    <row r="58" spans="1:23" x14ac:dyDescent="0.3">
      <c r="A58" t="str">
        <f t="shared" si="7"/>
        <v>Jan-26</v>
      </c>
      <c r="B58" t="str">
        <f t="shared" si="8"/>
        <v>Jan-26|W4</v>
      </c>
      <c r="C58">
        <v>1</v>
      </c>
      <c r="D58" t="s">
        <v>96</v>
      </c>
      <c r="E58">
        <v>2026</v>
      </c>
      <c r="F58" t="s">
        <v>100</v>
      </c>
      <c r="G58" t="s">
        <v>100</v>
      </c>
      <c r="H58" s="3">
        <f t="shared" si="12"/>
        <v>46041</v>
      </c>
      <c r="I58" s="3">
        <f t="shared" si="13"/>
        <v>46047</v>
      </c>
      <c r="J58" s="1">
        <f t="shared" si="10"/>
        <v>7</v>
      </c>
      <c r="K58" s="1">
        <f t="shared" si="1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>
        <v>56</v>
      </c>
      <c r="W58" s="26">
        <v>56</v>
      </c>
    </row>
    <row r="59" spans="1:23" x14ac:dyDescent="0.3">
      <c r="A59" t="str">
        <f t="shared" si="7"/>
        <v>Feb-26</v>
      </c>
      <c r="B59" t="str">
        <f t="shared" si="8"/>
        <v>Feb-26|W1</v>
      </c>
      <c r="C59">
        <v>2</v>
      </c>
      <c r="D59" t="s">
        <v>101</v>
      </c>
      <c r="E59">
        <v>2026</v>
      </c>
      <c r="F59" t="s">
        <v>97</v>
      </c>
      <c r="G59" t="s">
        <v>103</v>
      </c>
      <c r="H59" s="3">
        <f t="shared" si="12"/>
        <v>46048</v>
      </c>
      <c r="I59" s="3">
        <f t="shared" si="13"/>
        <v>46054</v>
      </c>
      <c r="J59" s="1">
        <f t="shared" si="10"/>
        <v>1</v>
      </c>
      <c r="K59" s="1">
        <f t="shared" si="11"/>
        <v>6</v>
      </c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>
        <v>56</v>
      </c>
      <c r="W59" s="26">
        <v>56</v>
      </c>
    </row>
    <row r="60" spans="1:23" x14ac:dyDescent="0.3">
      <c r="A60" t="str">
        <f t="shared" si="7"/>
        <v>Feb-26</v>
      </c>
      <c r="B60" t="str">
        <f t="shared" si="8"/>
        <v>Feb-26|W2</v>
      </c>
      <c r="C60">
        <v>2</v>
      </c>
      <c r="D60" t="s">
        <v>101</v>
      </c>
      <c r="E60">
        <v>2026</v>
      </c>
      <c r="F60" t="s">
        <v>98</v>
      </c>
      <c r="G60" t="s">
        <v>113</v>
      </c>
      <c r="H60" s="3">
        <f t="shared" si="12"/>
        <v>46055</v>
      </c>
      <c r="I60" s="3">
        <f t="shared" si="13"/>
        <v>46061</v>
      </c>
      <c r="J60" s="1">
        <f t="shared" si="10"/>
        <v>7</v>
      </c>
      <c r="K60" s="1">
        <f t="shared" si="1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>
        <v>56</v>
      </c>
      <c r="W60" s="26">
        <v>56</v>
      </c>
    </row>
    <row r="61" spans="1:23" x14ac:dyDescent="0.3">
      <c r="A61" t="str">
        <f t="shared" si="7"/>
        <v>Feb-26</v>
      </c>
      <c r="B61" t="str">
        <f t="shared" si="8"/>
        <v>Feb-26|W3</v>
      </c>
      <c r="C61">
        <v>2</v>
      </c>
      <c r="D61" t="s">
        <v>101</v>
      </c>
      <c r="E61">
        <v>2026</v>
      </c>
      <c r="F61" t="s">
        <v>99</v>
      </c>
      <c r="G61" t="s">
        <v>114</v>
      </c>
      <c r="H61" s="3">
        <f t="shared" si="12"/>
        <v>46062</v>
      </c>
      <c r="I61" s="3">
        <f t="shared" si="13"/>
        <v>46068</v>
      </c>
      <c r="J61" s="1">
        <f t="shared" si="10"/>
        <v>7</v>
      </c>
      <c r="K61" s="1">
        <f t="shared" si="11"/>
        <v>0</v>
      </c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>
        <v>56</v>
      </c>
      <c r="W61" s="26">
        <v>56</v>
      </c>
    </row>
    <row r="62" spans="1:23" x14ac:dyDescent="0.3">
      <c r="A62" t="str">
        <f t="shared" si="7"/>
        <v>Feb-26</v>
      </c>
      <c r="B62" t="str">
        <f t="shared" si="8"/>
        <v>Feb-26|W4</v>
      </c>
      <c r="C62">
        <v>2</v>
      </c>
      <c r="D62" t="s">
        <v>101</v>
      </c>
      <c r="E62">
        <v>2026</v>
      </c>
      <c r="F62" t="s">
        <v>100</v>
      </c>
      <c r="G62" t="s">
        <v>115</v>
      </c>
      <c r="H62" s="3">
        <f t="shared" si="12"/>
        <v>46069</v>
      </c>
      <c r="I62" s="3">
        <f t="shared" si="13"/>
        <v>46075</v>
      </c>
      <c r="J62" s="1">
        <f t="shared" si="10"/>
        <v>7</v>
      </c>
      <c r="K62" s="1">
        <f t="shared" si="1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>
        <v>56</v>
      </c>
      <c r="W62" s="26">
        <v>56</v>
      </c>
    </row>
    <row r="63" spans="1:23" x14ac:dyDescent="0.3">
      <c r="A63" t="str">
        <f t="shared" si="7"/>
        <v>Mar-26</v>
      </c>
      <c r="B63" t="str">
        <f t="shared" si="8"/>
        <v>Mar-26|W1</v>
      </c>
      <c r="C63">
        <v>3</v>
      </c>
      <c r="D63" t="s">
        <v>102</v>
      </c>
      <c r="E63">
        <v>2026</v>
      </c>
      <c r="F63" t="s">
        <v>97</v>
      </c>
      <c r="G63" t="s">
        <v>116</v>
      </c>
      <c r="H63" s="3">
        <f t="shared" si="12"/>
        <v>46076</v>
      </c>
      <c r="I63" s="3">
        <f t="shared" si="13"/>
        <v>46082</v>
      </c>
      <c r="J63" s="1">
        <f t="shared" si="10"/>
        <v>1</v>
      </c>
      <c r="K63" s="1">
        <f t="shared" si="11"/>
        <v>6</v>
      </c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>
        <v>56</v>
      </c>
      <c r="W63" s="26">
        <v>56</v>
      </c>
    </row>
    <row r="64" spans="1:23" x14ac:dyDescent="0.3">
      <c r="A64" t="str">
        <f t="shared" si="7"/>
        <v>Mar-26</v>
      </c>
      <c r="B64" t="str">
        <f t="shared" si="8"/>
        <v>Mar-26|W2</v>
      </c>
      <c r="C64">
        <v>3</v>
      </c>
      <c r="D64" t="s">
        <v>102</v>
      </c>
      <c r="E64">
        <v>2026</v>
      </c>
      <c r="F64" t="s">
        <v>98</v>
      </c>
      <c r="G64" t="s">
        <v>117</v>
      </c>
      <c r="H64" s="3">
        <f t="shared" si="12"/>
        <v>46083</v>
      </c>
      <c r="I64" s="3">
        <f t="shared" si="13"/>
        <v>46089</v>
      </c>
      <c r="J64" s="1">
        <f t="shared" si="10"/>
        <v>7</v>
      </c>
      <c r="K64" s="1">
        <f t="shared" si="1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>
        <v>56</v>
      </c>
      <c r="W64" s="26">
        <v>56</v>
      </c>
    </row>
    <row r="65" spans="1:23" x14ac:dyDescent="0.3">
      <c r="A65" t="str">
        <f t="shared" si="7"/>
        <v>Mar-26</v>
      </c>
      <c r="B65" t="str">
        <f t="shared" si="8"/>
        <v>Mar-26|W3</v>
      </c>
      <c r="C65">
        <v>3</v>
      </c>
      <c r="D65" t="s">
        <v>102</v>
      </c>
      <c r="E65">
        <v>2026</v>
      </c>
      <c r="F65" t="s">
        <v>99</v>
      </c>
      <c r="G65" t="s">
        <v>118</v>
      </c>
      <c r="H65" s="3">
        <f t="shared" si="12"/>
        <v>46090</v>
      </c>
      <c r="I65" s="3">
        <f t="shared" si="13"/>
        <v>46096</v>
      </c>
      <c r="J65" s="1">
        <f t="shared" si="10"/>
        <v>7</v>
      </c>
      <c r="K65" s="1">
        <f t="shared" si="11"/>
        <v>0</v>
      </c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>
        <v>56</v>
      </c>
      <c r="W65" s="26">
        <v>56</v>
      </c>
    </row>
    <row r="66" spans="1:23" x14ac:dyDescent="0.3">
      <c r="A66" t="str">
        <f t="shared" si="7"/>
        <v>Mar-26</v>
      </c>
      <c r="B66" t="str">
        <f t="shared" si="8"/>
        <v>Mar-26|W4</v>
      </c>
      <c r="C66">
        <v>3</v>
      </c>
      <c r="D66" t="s">
        <v>102</v>
      </c>
      <c r="E66">
        <v>2026</v>
      </c>
      <c r="F66" t="s">
        <v>100</v>
      </c>
      <c r="G66" t="s">
        <v>119</v>
      </c>
      <c r="H66" s="3">
        <f t="shared" si="12"/>
        <v>46097</v>
      </c>
      <c r="I66" s="3">
        <f t="shared" si="13"/>
        <v>46103</v>
      </c>
      <c r="J66" s="1">
        <f t="shared" si="10"/>
        <v>7</v>
      </c>
      <c r="K66" s="1">
        <f t="shared" si="11"/>
        <v>0</v>
      </c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>
        <v>56</v>
      </c>
      <c r="W66" s="26">
        <v>56</v>
      </c>
    </row>
    <row r="67" spans="1:23" x14ac:dyDescent="0.3">
      <c r="A67" t="str">
        <f t="shared" si="7"/>
        <v>Mar-26</v>
      </c>
      <c r="B67" t="str">
        <f t="shared" si="8"/>
        <v>Mar-26|W5</v>
      </c>
      <c r="C67">
        <v>3</v>
      </c>
      <c r="D67" t="s">
        <v>102</v>
      </c>
      <c r="E67">
        <v>2026</v>
      </c>
      <c r="F67" t="s">
        <v>103</v>
      </c>
      <c r="G67" t="s">
        <v>120</v>
      </c>
      <c r="H67" s="3">
        <f t="shared" si="12"/>
        <v>46104</v>
      </c>
      <c r="I67" s="3">
        <f t="shared" si="13"/>
        <v>46110</v>
      </c>
      <c r="J67" s="1">
        <f t="shared" si="10"/>
        <v>7</v>
      </c>
      <c r="K67" s="1">
        <f t="shared" si="11"/>
        <v>0</v>
      </c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>
        <v>56</v>
      </c>
      <c r="W67" s="26">
        <v>56</v>
      </c>
    </row>
    <row r="68" spans="1:23" x14ac:dyDescent="0.3">
      <c r="A68" t="str">
        <f t="shared" si="7"/>
        <v>Apr-26</v>
      </c>
      <c r="B68" t="str">
        <f t="shared" si="8"/>
        <v>Apr-26|W1</v>
      </c>
      <c r="C68">
        <v>4</v>
      </c>
      <c r="D68" t="s">
        <v>104</v>
      </c>
      <c r="E68">
        <v>2026</v>
      </c>
      <c r="F68" t="s">
        <v>97</v>
      </c>
      <c r="G68" t="s">
        <v>121</v>
      </c>
      <c r="H68" s="3">
        <f t="shared" si="12"/>
        <v>46111</v>
      </c>
      <c r="I68" s="3">
        <f t="shared" si="13"/>
        <v>46117</v>
      </c>
      <c r="J68" s="1">
        <f t="shared" si="10"/>
        <v>5</v>
      </c>
      <c r="K68" s="1">
        <f t="shared" si="11"/>
        <v>2</v>
      </c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>
        <v>56</v>
      </c>
      <c r="W68" s="26">
        <v>56</v>
      </c>
    </row>
    <row r="69" spans="1:23" x14ac:dyDescent="0.3">
      <c r="A69" t="str">
        <f t="shared" si="7"/>
        <v>Apr-26</v>
      </c>
      <c r="B69" t="str">
        <f t="shared" si="8"/>
        <v>Apr-26|W2</v>
      </c>
      <c r="C69">
        <v>4</v>
      </c>
      <c r="D69" t="s">
        <v>104</v>
      </c>
      <c r="E69">
        <v>2026</v>
      </c>
      <c r="F69" t="s">
        <v>98</v>
      </c>
      <c r="G69" t="s">
        <v>122</v>
      </c>
      <c r="H69" s="3">
        <f t="shared" si="12"/>
        <v>46118</v>
      </c>
      <c r="I69" s="3">
        <f t="shared" si="13"/>
        <v>46124</v>
      </c>
      <c r="J69" s="1">
        <f t="shared" si="10"/>
        <v>7</v>
      </c>
      <c r="K69" s="1">
        <f t="shared" si="11"/>
        <v>0</v>
      </c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>
        <v>56</v>
      </c>
      <c r="W69" s="26">
        <v>56</v>
      </c>
    </row>
    <row r="70" spans="1:23" x14ac:dyDescent="0.3">
      <c r="A70" t="str">
        <f t="shared" si="7"/>
        <v>Apr-26</v>
      </c>
      <c r="B70" t="str">
        <f t="shared" si="8"/>
        <v>Apr-26|W3</v>
      </c>
      <c r="C70">
        <v>4</v>
      </c>
      <c r="D70" t="s">
        <v>104</v>
      </c>
      <c r="E70">
        <v>2026</v>
      </c>
      <c r="F70" t="s">
        <v>99</v>
      </c>
      <c r="G70" t="s">
        <v>123</v>
      </c>
      <c r="H70" s="3">
        <f t="shared" si="12"/>
        <v>46125</v>
      </c>
      <c r="I70" s="3">
        <f t="shared" si="13"/>
        <v>46131</v>
      </c>
      <c r="J70" s="1">
        <f t="shared" si="10"/>
        <v>7</v>
      </c>
      <c r="K70" s="1">
        <f t="shared" si="11"/>
        <v>0</v>
      </c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>
        <v>56</v>
      </c>
      <c r="W70" s="26">
        <v>56</v>
      </c>
    </row>
    <row r="71" spans="1:23" x14ac:dyDescent="0.3">
      <c r="A71" t="str">
        <f t="shared" si="7"/>
        <v>Apr-26</v>
      </c>
      <c r="B71" t="str">
        <f t="shared" si="8"/>
        <v>Apr-26|W4</v>
      </c>
      <c r="C71">
        <v>4</v>
      </c>
      <c r="D71" t="s">
        <v>104</v>
      </c>
      <c r="E71">
        <v>2026</v>
      </c>
      <c r="F71" t="s">
        <v>100</v>
      </c>
      <c r="G71" t="s">
        <v>124</v>
      </c>
      <c r="H71" s="3">
        <f t="shared" si="12"/>
        <v>46132</v>
      </c>
      <c r="I71" s="3">
        <f t="shared" si="13"/>
        <v>46138</v>
      </c>
      <c r="J71" s="1">
        <f t="shared" si="10"/>
        <v>7</v>
      </c>
      <c r="K71" s="1">
        <f t="shared" si="11"/>
        <v>0</v>
      </c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>
        <v>56</v>
      </c>
      <c r="W71" s="26">
        <v>56</v>
      </c>
    </row>
    <row r="72" spans="1:23" x14ac:dyDescent="0.3">
      <c r="A72" t="str">
        <f t="shared" si="7"/>
        <v>May-26</v>
      </c>
      <c r="B72" t="str">
        <f t="shared" si="8"/>
        <v>May-26|W1</v>
      </c>
      <c r="C72">
        <v>5</v>
      </c>
      <c r="D72" t="s">
        <v>105</v>
      </c>
      <c r="E72">
        <v>2026</v>
      </c>
      <c r="F72" t="s">
        <v>97</v>
      </c>
      <c r="G72" t="s">
        <v>125</v>
      </c>
      <c r="H72" s="3">
        <f t="shared" si="12"/>
        <v>46139</v>
      </c>
      <c r="I72" s="3">
        <f t="shared" si="13"/>
        <v>46145</v>
      </c>
      <c r="J72" s="1">
        <f t="shared" si="10"/>
        <v>3</v>
      </c>
      <c r="K72" s="1">
        <f t="shared" si="11"/>
        <v>4</v>
      </c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>
        <v>56</v>
      </c>
      <c r="W72" s="26">
        <v>56</v>
      </c>
    </row>
    <row r="73" spans="1:23" x14ac:dyDescent="0.3">
      <c r="A73" t="str">
        <f t="shared" si="7"/>
        <v>May-26</v>
      </c>
      <c r="B73" t="str">
        <f t="shared" si="8"/>
        <v>May-26|W2</v>
      </c>
      <c r="C73">
        <v>5</v>
      </c>
      <c r="D73" t="s">
        <v>105</v>
      </c>
      <c r="E73">
        <v>2026</v>
      </c>
      <c r="F73" t="s">
        <v>98</v>
      </c>
      <c r="G73" t="s">
        <v>126</v>
      </c>
      <c r="H73" s="3">
        <f t="shared" si="12"/>
        <v>46146</v>
      </c>
      <c r="I73" s="3">
        <f t="shared" si="13"/>
        <v>46152</v>
      </c>
      <c r="J73" s="1">
        <f t="shared" si="10"/>
        <v>7</v>
      </c>
      <c r="K73" s="1">
        <f t="shared" si="11"/>
        <v>0</v>
      </c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>
        <v>56</v>
      </c>
      <c r="W73" s="26">
        <v>56</v>
      </c>
    </row>
    <row r="74" spans="1:23" x14ac:dyDescent="0.3">
      <c r="A74" t="str">
        <f t="shared" si="7"/>
        <v>May-26</v>
      </c>
      <c r="B74" t="str">
        <f t="shared" si="8"/>
        <v>May-26|W3</v>
      </c>
      <c r="C74">
        <v>5</v>
      </c>
      <c r="D74" t="s">
        <v>105</v>
      </c>
      <c r="E74">
        <v>2026</v>
      </c>
      <c r="F74" t="s">
        <v>99</v>
      </c>
      <c r="G74" t="s">
        <v>127</v>
      </c>
      <c r="H74" s="3">
        <f t="shared" si="12"/>
        <v>46153</v>
      </c>
      <c r="I74" s="3">
        <f t="shared" si="13"/>
        <v>46159</v>
      </c>
      <c r="J74" s="1">
        <f t="shared" si="10"/>
        <v>7</v>
      </c>
      <c r="K74" s="1">
        <f t="shared" si="11"/>
        <v>0</v>
      </c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>
        <v>56</v>
      </c>
      <c r="W74" s="26">
        <v>56</v>
      </c>
    </row>
    <row r="75" spans="1:23" x14ac:dyDescent="0.3">
      <c r="A75" t="str">
        <f t="shared" si="7"/>
        <v>May-26</v>
      </c>
      <c r="B75" t="str">
        <f t="shared" si="8"/>
        <v>May-26|W4</v>
      </c>
      <c r="C75">
        <v>5</v>
      </c>
      <c r="D75" t="s">
        <v>105</v>
      </c>
      <c r="E75">
        <v>2026</v>
      </c>
      <c r="F75" t="s">
        <v>100</v>
      </c>
      <c r="G75" t="s">
        <v>128</v>
      </c>
      <c r="H75" s="3">
        <f t="shared" si="12"/>
        <v>46160</v>
      </c>
      <c r="I75" s="3">
        <f t="shared" si="13"/>
        <v>46166</v>
      </c>
      <c r="J75" s="1">
        <f t="shared" si="10"/>
        <v>7</v>
      </c>
      <c r="K75" s="1">
        <f t="shared" si="11"/>
        <v>0</v>
      </c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>
        <v>56</v>
      </c>
      <c r="W75" s="26">
        <v>56</v>
      </c>
    </row>
    <row r="76" spans="1:23" x14ac:dyDescent="0.3">
      <c r="A76" t="str">
        <f t="shared" si="7"/>
        <v>Jun-26</v>
      </c>
      <c r="B76" t="str">
        <f t="shared" si="8"/>
        <v>Jun-26|W1</v>
      </c>
      <c r="C76">
        <v>6</v>
      </c>
      <c r="D76" t="s">
        <v>106</v>
      </c>
      <c r="E76">
        <v>2026</v>
      </c>
      <c r="F76" t="s">
        <v>97</v>
      </c>
      <c r="G76" t="s">
        <v>129</v>
      </c>
      <c r="H76" s="3">
        <f t="shared" si="12"/>
        <v>46167</v>
      </c>
      <c r="I76" s="3">
        <f t="shared" si="13"/>
        <v>46173</v>
      </c>
      <c r="J76" s="1">
        <f t="shared" si="10"/>
        <v>0</v>
      </c>
      <c r="K76" s="1">
        <f t="shared" si="11"/>
        <v>7</v>
      </c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>
        <v>56</v>
      </c>
      <c r="W76" s="26">
        <v>56</v>
      </c>
    </row>
    <row r="77" spans="1:23" x14ac:dyDescent="0.3">
      <c r="A77" t="str">
        <f t="shared" si="7"/>
        <v>Jun-26</v>
      </c>
      <c r="B77" t="str">
        <f t="shared" si="8"/>
        <v>Jun-26|W2</v>
      </c>
      <c r="C77">
        <v>6</v>
      </c>
      <c r="D77" t="s">
        <v>106</v>
      </c>
      <c r="E77">
        <v>2026</v>
      </c>
      <c r="F77" t="s">
        <v>98</v>
      </c>
      <c r="G77" t="s">
        <v>130</v>
      </c>
      <c r="H77" s="3">
        <f t="shared" si="12"/>
        <v>46174</v>
      </c>
      <c r="I77" s="3">
        <f t="shared" si="13"/>
        <v>46180</v>
      </c>
      <c r="J77" s="1">
        <f t="shared" si="10"/>
        <v>7</v>
      </c>
      <c r="K77" s="1">
        <f t="shared" si="11"/>
        <v>0</v>
      </c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>
        <v>56</v>
      </c>
      <c r="W77" s="26">
        <v>56</v>
      </c>
    </row>
    <row r="78" spans="1:23" x14ac:dyDescent="0.3">
      <c r="A78" t="str">
        <f t="shared" si="7"/>
        <v>Jun-26</v>
      </c>
      <c r="B78" t="str">
        <f t="shared" si="8"/>
        <v>Jun-26|W3</v>
      </c>
      <c r="C78">
        <v>6</v>
      </c>
      <c r="D78" t="s">
        <v>106</v>
      </c>
      <c r="E78">
        <v>2026</v>
      </c>
      <c r="F78" t="s">
        <v>99</v>
      </c>
      <c r="G78" t="s">
        <v>131</v>
      </c>
      <c r="H78" s="3">
        <f t="shared" si="12"/>
        <v>46181</v>
      </c>
      <c r="I78" s="3">
        <f t="shared" si="13"/>
        <v>46187</v>
      </c>
      <c r="J78" s="1">
        <f t="shared" si="10"/>
        <v>7</v>
      </c>
      <c r="K78" s="1">
        <f t="shared" si="11"/>
        <v>0</v>
      </c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>
        <v>56</v>
      </c>
      <c r="W78" s="26">
        <v>56</v>
      </c>
    </row>
    <row r="79" spans="1:23" x14ac:dyDescent="0.3">
      <c r="A79" t="str">
        <f t="shared" si="7"/>
        <v>Jun-26</v>
      </c>
      <c r="B79" t="str">
        <f t="shared" si="8"/>
        <v>Jun-26|W4</v>
      </c>
      <c r="C79">
        <v>6</v>
      </c>
      <c r="D79" t="s">
        <v>106</v>
      </c>
      <c r="E79">
        <v>2026</v>
      </c>
      <c r="F79" t="s">
        <v>100</v>
      </c>
      <c r="G79" t="s">
        <v>132</v>
      </c>
      <c r="H79" s="3">
        <f t="shared" si="12"/>
        <v>46188</v>
      </c>
      <c r="I79" s="3">
        <f t="shared" si="13"/>
        <v>46194</v>
      </c>
      <c r="J79" s="1">
        <f t="shared" si="10"/>
        <v>7</v>
      </c>
      <c r="K79" s="1">
        <f t="shared" si="11"/>
        <v>0</v>
      </c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>
        <v>56</v>
      </c>
      <c r="W79" s="26">
        <v>56</v>
      </c>
    </row>
    <row r="80" spans="1:23" x14ac:dyDescent="0.3">
      <c r="A80" t="str">
        <f t="shared" ref="A80:A105" si="14">D80&amp;"-"&amp;RIGHT(E80,2)</f>
        <v>Jun-26</v>
      </c>
      <c r="B80" t="str">
        <f t="shared" ref="B80:B105" si="15">A80&amp;"|"&amp;F80</f>
        <v>Jun-26|W5</v>
      </c>
      <c r="C80">
        <v>6</v>
      </c>
      <c r="D80" t="s">
        <v>106</v>
      </c>
      <c r="E80">
        <v>2026</v>
      </c>
      <c r="F80" t="s">
        <v>103</v>
      </c>
      <c r="G80" t="s">
        <v>133</v>
      </c>
      <c r="H80" s="3">
        <f t="shared" si="12"/>
        <v>46195</v>
      </c>
      <c r="I80" s="3">
        <f t="shared" si="13"/>
        <v>46201</v>
      </c>
      <c r="J80" s="1">
        <f t="shared" ref="J80:J143" si="16">IF(NOT(MONTH(H80)=MONTH(I80)),I80-DATE(E80,C80,1)+1,
    IF(MONTH(I80)=C80-1, 0,7))</f>
        <v>7</v>
      </c>
      <c r="K80" s="1">
        <f t="shared" si="11"/>
        <v>0</v>
      </c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>
        <v>56</v>
      </c>
      <c r="W80" s="26">
        <v>56</v>
      </c>
    </row>
    <row r="81" spans="1:23" x14ac:dyDescent="0.3">
      <c r="A81" t="str">
        <f t="shared" si="14"/>
        <v>Jul-26</v>
      </c>
      <c r="B81" t="str">
        <f t="shared" si="15"/>
        <v>Jul-26|W1</v>
      </c>
      <c r="C81">
        <v>7</v>
      </c>
      <c r="D81" t="s">
        <v>107</v>
      </c>
      <c r="E81">
        <v>2026</v>
      </c>
      <c r="F81" t="s">
        <v>97</v>
      </c>
      <c r="G81" t="s">
        <v>134</v>
      </c>
      <c r="H81" s="3">
        <f t="shared" si="12"/>
        <v>46202</v>
      </c>
      <c r="I81" s="3">
        <f t="shared" si="13"/>
        <v>46208</v>
      </c>
      <c r="J81" s="1">
        <f t="shared" si="16"/>
        <v>5</v>
      </c>
      <c r="K81" s="1">
        <f t="shared" ref="K81:K144" si="17">7-J81</f>
        <v>2</v>
      </c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>
        <v>56</v>
      </c>
      <c r="W81" s="26">
        <v>56</v>
      </c>
    </row>
    <row r="82" spans="1:23" x14ac:dyDescent="0.3">
      <c r="A82" t="str">
        <f t="shared" si="14"/>
        <v>Jul-26</v>
      </c>
      <c r="B82" t="str">
        <f t="shared" si="15"/>
        <v>Jul-26|W2</v>
      </c>
      <c r="C82">
        <v>7</v>
      </c>
      <c r="D82" t="s">
        <v>107</v>
      </c>
      <c r="E82">
        <v>2026</v>
      </c>
      <c r="F82" t="s">
        <v>98</v>
      </c>
      <c r="G82" t="s">
        <v>135</v>
      </c>
      <c r="H82" s="3">
        <f t="shared" ref="H82:H105" si="18">I81+1</f>
        <v>46209</v>
      </c>
      <c r="I82" s="3">
        <f t="shared" ref="I82:I105" si="19">H82+6</f>
        <v>46215</v>
      </c>
      <c r="J82" s="1">
        <f t="shared" si="16"/>
        <v>7</v>
      </c>
      <c r="K82" s="1">
        <f t="shared" si="17"/>
        <v>0</v>
      </c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>
        <v>56</v>
      </c>
      <c r="W82" s="26">
        <v>56</v>
      </c>
    </row>
    <row r="83" spans="1:23" x14ac:dyDescent="0.3">
      <c r="A83" t="str">
        <f t="shared" si="14"/>
        <v>Jul-26</v>
      </c>
      <c r="B83" t="str">
        <f t="shared" si="15"/>
        <v>Jul-26|W3</v>
      </c>
      <c r="C83">
        <v>7</v>
      </c>
      <c r="D83" t="s">
        <v>107</v>
      </c>
      <c r="E83">
        <v>2026</v>
      </c>
      <c r="F83" t="s">
        <v>99</v>
      </c>
      <c r="G83" t="s">
        <v>136</v>
      </c>
      <c r="H83" s="3">
        <f t="shared" si="18"/>
        <v>46216</v>
      </c>
      <c r="I83" s="3">
        <f t="shared" si="19"/>
        <v>46222</v>
      </c>
      <c r="J83" s="1">
        <f t="shared" si="16"/>
        <v>7</v>
      </c>
      <c r="K83" s="1">
        <f t="shared" si="17"/>
        <v>0</v>
      </c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>
        <v>56</v>
      </c>
      <c r="W83" s="26">
        <v>56</v>
      </c>
    </row>
    <row r="84" spans="1:23" x14ac:dyDescent="0.3">
      <c r="A84" t="str">
        <f t="shared" si="14"/>
        <v>Jul-26</v>
      </c>
      <c r="B84" t="str">
        <f t="shared" si="15"/>
        <v>Jul-26|W4</v>
      </c>
      <c r="C84">
        <v>7</v>
      </c>
      <c r="D84" t="s">
        <v>107</v>
      </c>
      <c r="E84">
        <v>2026</v>
      </c>
      <c r="F84" t="s">
        <v>100</v>
      </c>
      <c r="G84" t="s">
        <v>137</v>
      </c>
      <c r="H84" s="3">
        <f t="shared" si="18"/>
        <v>46223</v>
      </c>
      <c r="I84" s="3">
        <f t="shared" si="19"/>
        <v>46229</v>
      </c>
      <c r="J84" s="1">
        <f t="shared" si="16"/>
        <v>7</v>
      </c>
      <c r="K84" s="1">
        <f t="shared" si="17"/>
        <v>0</v>
      </c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>
        <v>56</v>
      </c>
      <c r="W84" s="26">
        <v>56</v>
      </c>
    </row>
    <row r="85" spans="1:23" x14ac:dyDescent="0.3">
      <c r="A85" t="str">
        <f t="shared" si="14"/>
        <v>Aug-26</v>
      </c>
      <c r="B85" t="str">
        <f t="shared" si="15"/>
        <v>Aug-26|W1</v>
      </c>
      <c r="C85">
        <v>8</v>
      </c>
      <c r="D85" t="s">
        <v>108</v>
      </c>
      <c r="E85">
        <v>2026</v>
      </c>
      <c r="F85" t="s">
        <v>97</v>
      </c>
      <c r="G85" t="s">
        <v>138</v>
      </c>
      <c r="H85" s="3">
        <f t="shared" si="18"/>
        <v>46230</v>
      </c>
      <c r="I85" s="3">
        <f t="shared" si="19"/>
        <v>46236</v>
      </c>
      <c r="J85" s="1">
        <f t="shared" si="16"/>
        <v>2</v>
      </c>
      <c r="K85" s="1">
        <f t="shared" si="17"/>
        <v>5</v>
      </c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>
        <v>56</v>
      </c>
      <c r="W85" s="26">
        <v>56</v>
      </c>
    </row>
    <row r="86" spans="1:23" x14ac:dyDescent="0.3">
      <c r="A86" t="str">
        <f t="shared" si="14"/>
        <v>Aug-26</v>
      </c>
      <c r="B86" t="str">
        <f t="shared" si="15"/>
        <v>Aug-26|W2</v>
      </c>
      <c r="C86">
        <v>8</v>
      </c>
      <c r="D86" t="s">
        <v>108</v>
      </c>
      <c r="E86">
        <v>2026</v>
      </c>
      <c r="F86" t="s">
        <v>98</v>
      </c>
      <c r="G86" t="s">
        <v>139</v>
      </c>
      <c r="H86" s="3">
        <f t="shared" si="18"/>
        <v>46237</v>
      </c>
      <c r="I86" s="3">
        <f t="shared" si="19"/>
        <v>46243</v>
      </c>
      <c r="J86" s="1">
        <f t="shared" si="16"/>
        <v>7</v>
      </c>
      <c r="K86" s="1">
        <f t="shared" si="17"/>
        <v>0</v>
      </c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>
        <v>56</v>
      </c>
      <c r="W86" s="26">
        <v>56</v>
      </c>
    </row>
    <row r="87" spans="1:23" x14ac:dyDescent="0.3">
      <c r="A87" t="str">
        <f t="shared" si="14"/>
        <v>Aug-26</v>
      </c>
      <c r="B87" t="str">
        <f t="shared" si="15"/>
        <v>Aug-26|W3</v>
      </c>
      <c r="C87">
        <v>8</v>
      </c>
      <c r="D87" t="s">
        <v>108</v>
      </c>
      <c r="E87">
        <v>2026</v>
      </c>
      <c r="F87" t="s">
        <v>99</v>
      </c>
      <c r="G87" t="s">
        <v>140</v>
      </c>
      <c r="H87" s="3">
        <f t="shared" si="18"/>
        <v>46244</v>
      </c>
      <c r="I87" s="3">
        <f t="shared" si="19"/>
        <v>46250</v>
      </c>
      <c r="J87" s="1">
        <f t="shared" si="16"/>
        <v>7</v>
      </c>
      <c r="K87" s="1">
        <f t="shared" si="17"/>
        <v>0</v>
      </c>
      <c r="L87" s="26">
        <v>24</v>
      </c>
      <c r="M87" s="26">
        <v>24</v>
      </c>
      <c r="N87" s="26">
        <v>24</v>
      </c>
      <c r="O87" s="26">
        <v>24</v>
      </c>
      <c r="P87" s="26">
        <v>24</v>
      </c>
      <c r="Q87" s="26">
        <v>24</v>
      </c>
      <c r="R87" s="26">
        <v>24</v>
      </c>
      <c r="S87" s="26">
        <v>24</v>
      </c>
      <c r="T87" s="26">
        <v>24</v>
      </c>
      <c r="U87" s="26"/>
      <c r="V87" s="26">
        <v>56</v>
      </c>
      <c r="W87" s="26">
        <v>56</v>
      </c>
    </row>
    <row r="88" spans="1:23" x14ac:dyDescent="0.3">
      <c r="A88" t="str">
        <f t="shared" si="14"/>
        <v>Aug-26</v>
      </c>
      <c r="B88" t="str">
        <f t="shared" si="15"/>
        <v>Aug-26|W4</v>
      </c>
      <c r="C88">
        <v>8</v>
      </c>
      <c r="D88" t="s">
        <v>108</v>
      </c>
      <c r="E88">
        <v>2026</v>
      </c>
      <c r="F88" t="s">
        <v>100</v>
      </c>
      <c r="G88" t="s">
        <v>141</v>
      </c>
      <c r="H88" s="3">
        <f t="shared" si="18"/>
        <v>46251</v>
      </c>
      <c r="I88" s="3">
        <f t="shared" si="19"/>
        <v>46257</v>
      </c>
      <c r="J88" s="1">
        <f t="shared" si="16"/>
        <v>7</v>
      </c>
      <c r="K88" s="1">
        <f t="shared" si="17"/>
        <v>0</v>
      </c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>
        <v>56</v>
      </c>
      <c r="W88" s="26">
        <v>56</v>
      </c>
    </row>
    <row r="89" spans="1:23" x14ac:dyDescent="0.3">
      <c r="A89" t="str">
        <f t="shared" si="14"/>
        <v>Sep-26</v>
      </c>
      <c r="B89" t="str">
        <f t="shared" si="15"/>
        <v>Sep-26|W1</v>
      </c>
      <c r="C89">
        <v>9</v>
      </c>
      <c r="D89" t="s">
        <v>109</v>
      </c>
      <c r="E89">
        <v>2026</v>
      </c>
      <c r="F89" t="s">
        <v>97</v>
      </c>
      <c r="G89" t="s">
        <v>142</v>
      </c>
      <c r="H89" s="3">
        <f t="shared" si="18"/>
        <v>46258</v>
      </c>
      <c r="I89" s="3">
        <f t="shared" si="19"/>
        <v>46264</v>
      </c>
      <c r="J89" s="1">
        <f t="shared" si="16"/>
        <v>0</v>
      </c>
      <c r="K89" s="1">
        <f t="shared" si="17"/>
        <v>7</v>
      </c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>
        <v>56</v>
      </c>
      <c r="W89" s="26">
        <v>56</v>
      </c>
    </row>
    <row r="90" spans="1:23" x14ac:dyDescent="0.3">
      <c r="A90" t="str">
        <f t="shared" si="14"/>
        <v>Sep-26</v>
      </c>
      <c r="B90" t="str">
        <f t="shared" si="15"/>
        <v>Sep-26|W2</v>
      </c>
      <c r="C90">
        <v>9</v>
      </c>
      <c r="D90" t="s">
        <v>109</v>
      </c>
      <c r="E90">
        <v>2026</v>
      </c>
      <c r="F90" t="s">
        <v>98</v>
      </c>
      <c r="G90" t="s">
        <v>143</v>
      </c>
      <c r="H90" s="3">
        <f t="shared" si="18"/>
        <v>46265</v>
      </c>
      <c r="I90" s="3">
        <f t="shared" si="19"/>
        <v>46271</v>
      </c>
      <c r="J90" s="1">
        <f t="shared" si="16"/>
        <v>6</v>
      </c>
      <c r="K90" s="1">
        <f t="shared" si="17"/>
        <v>1</v>
      </c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>
        <v>56</v>
      </c>
      <c r="W90" s="26">
        <v>56</v>
      </c>
    </row>
    <row r="91" spans="1:23" x14ac:dyDescent="0.3">
      <c r="A91" t="str">
        <f t="shared" si="14"/>
        <v>Sep-26</v>
      </c>
      <c r="B91" t="str">
        <f t="shared" si="15"/>
        <v>Sep-26|W3</v>
      </c>
      <c r="C91">
        <v>9</v>
      </c>
      <c r="D91" t="s">
        <v>109</v>
      </c>
      <c r="E91">
        <v>2026</v>
      </c>
      <c r="F91" t="s">
        <v>99</v>
      </c>
      <c r="G91" t="s">
        <v>144</v>
      </c>
      <c r="H91" s="3">
        <f t="shared" si="18"/>
        <v>46272</v>
      </c>
      <c r="I91" s="3">
        <f t="shared" si="19"/>
        <v>46278</v>
      </c>
      <c r="J91" s="1">
        <f t="shared" si="16"/>
        <v>7</v>
      </c>
      <c r="K91" s="1">
        <f t="shared" si="17"/>
        <v>0</v>
      </c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>
        <v>56</v>
      </c>
      <c r="W91" s="26">
        <v>56</v>
      </c>
    </row>
    <row r="92" spans="1:23" x14ac:dyDescent="0.3">
      <c r="A92" t="str">
        <f t="shared" si="14"/>
        <v>Sep-26</v>
      </c>
      <c r="B92" t="str">
        <f t="shared" si="15"/>
        <v>Sep-26|W4</v>
      </c>
      <c r="C92">
        <v>9</v>
      </c>
      <c r="D92" t="s">
        <v>109</v>
      </c>
      <c r="E92">
        <v>2026</v>
      </c>
      <c r="F92" t="s">
        <v>100</v>
      </c>
      <c r="G92" t="s">
        <v>145</v>
      </c>
      <c r="H92" s="3">
        <f t="shared" si="18"/>
        <v>46279</v>
      </c>
      <c r="I92" s="3">
        <f t="shared" si="19"/>
        <v>46285</v>
      </c>
      <c r="J92" s="1">
        <f t="shared" si="16"/>
        <v>7</v>
      </c>
      <c r="K92" s="1">
        <f t="shared" si="17"/>
        <v>0</v>
      </c>
      <c r="L92" s="26">
        <v>24</v>
      </c>
      <c r="M92" s="26">
        <v>24</v>
      </c>
      <c r="N92" s="26">
        <v>24</v>
      </c>
      <c r="O92" s="26">
        <v>24</v>
      </c>
      <c r="P92" s="26">
        <v>24</v>
      </c>
      <c r="Q92" s="26">
        <v>24</v>
      </c>
      <c r="R92" s="26">
        <f>24</f>
        <v>24</v>
      </c>
      <c r="S92" s="26"/>
      <c r="T92" s="26"/>
      <c r="U92" s="26"/>
      <c r="V92" s="26">
        <v>56</v>
      </c>
      <c r="W92" s="26">
        <v>56</v>
      </c>
    </row>
    <row r="93" spans="1:23" x14ac:dyDescent="0.3">
      <c r="A93" t="str">
        <f t="shared" si="14"/>
        <v>Sep-26</v>
      </c>
      <c r="B93" t="str">
        <f t="shared" si="15"/>
        <v>Sep-26|W5</v>
      </c>
      <c r="C93">
        <v>9</v>
      </c>
      <c r="D93" t="s">
        <v>109</v>
      </c>
      <c r="E93">
        <v>2026</v>
      </c>
      <c r="F93" t="s">
        <v>103</v>
      </c>
      <c r="G93" t="s">
        <v>146</v>
      </c>
      <c r="H93" s="3">
        <f t="shared" si="18"/>
        <v>46286</v>
      </c>
      <c r="I93" s="3">
        <f t="shared" si="19"/>
        <v>46292</v>
      </c>
      <c r="J93" s="1">
        <f t="shared" si="16"/>
        <v>7</v>
      </c>
      <c r="K93" s="1">
        <f t="shared" si="17"/>
        <v>0</v>
      </c>
      <c r="L93" s="26">
        <v>12</v>
      </c>
      <c r="M93" s="26">
        <v>12</v>
      </c>
      <c r="N93" s="26">
        <v>12</v>
      </c>
      <c r="O93" s="26">
        <v>12</v>
      </c>
      <c r="P93" s="26">
        <v>12</v>
      </c>
      <c r="Q93" s="26"/>
      <c r="R93" s="26">
        <v>48</v>
      </c>
      <c r="S93" s="26">
        <v>48</v>
      </c>
      <c r="T93" s="26"/>
      <c r="U93" s="26"/>
      <c r="V93" s="26">
        <v>56</v>
      </c>
      <c r="W93" s="26">
        <v>56</v>
      </c>
    </row>
    <row r="94" spans="1:23" x14ac:dyDescent="0.3">
      <c r="A94" t="str">
        <f t="shared" si="14"/>
        <v>Oct-26</v>
      </c>
      <c r="B94" t="str">
        <f t="shared" si="15"/>
        <v>Oct-26|W1</v>
      </c>
      <c r="C94">
        <v>10</v>
      </c>
      <c r="D94" t="s">
        <v>110</v>
      </c>
      <c r="E94">
        <v>2026</v>
      </c>
      <c r="F94" t="s">
        <v>97</v>
      </c>
      <c r="G94" t="s">
        <v>147</v>
      </c>
      <c r="H94" s="3">
        <f t="shared" si="18"/>
        <v>46293</v>
      </c>
      <c r="I94" s="3">
        <f t="shared" si="19"/>
        <v>46299</v>
      </c>
      <c r="J94" s="1">
        <f t="shared" si="16"/>
        <v>4</v>
      </c>
      <c r="K94" s="1">
        <f t="shared" si="17"/>
        <v>3</v>
      </c>
      <c r="L94" s="26">
        <v>24</v>
      </c>
      <c r="M94" s="26">
        <v>24</v>
      </c>
      <c r="N94" s="26">
        <v>24</v>
      </c>
      <c r="O94" s="26">
        <v>24</v>
      </c>
      <c r="P94" s="26">
        <v>24</v>
      </c>
      <c r="Q94" s="26"/>
      <c r="R94" s="26"/>
      <c r="S94" s="26">
        <v>24</v>
      </c>
      <c r="T94" s="26">
        <v>24</v>
      </c>
      <c r="U94" s="26"/>
      <c r="V94" s="26">
        <v>56</v>
      </c>
      <c r="W94" s="26">
        <v>56</v>
      </c>
    </row>
    <row r="95" spans="1:23" x14ac:dyDescent="0.3">
      <c r="A95" t="str">
        <f t="shared" si="14"/>
        <v>Oct-26</v>
      </c>
      <c r="B95" t="str">
        <f t="shared" si="15"/>
        <v>Oct-26|W2</v>
      </c>
      <c r="C95">
        <v>10</v>
      </c>
      <c r="D95" t="s">
        <v>110</v>
      </c>
      <c r="E95">
        <v>2026</v>
      </c>
      <c r="F95" t="s">
        <v>98</v>
      </c>
      <c r="G95" t="s">
        <v>148</v>
      </c>
      <c r="H95" s="3">
        <f t="shared" si="18"/>
        <v>46300</v>
      </c>
      <c r="I95" s="3">
        <f t="shared" si="19"/>
        <v>46306</v>
      </c>
      <c r="J95" s="1">
        <f t="shared" si="16"/>
        <v>7</v>
      </c>
      <c r="K95" s="1">
        <f t="shared" si="17"/>
        <v>0</v>
      </c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>
        <v>56</v>
      </c>
      <c r="W95" s="26">
        <v>56</v>
      </c>
    </row>
    <row r="96" spans="1:23" x14ac:dyDescent="0.3">
      <c r="A96" t="str">
        <f t="shared" si="14"/>
        <v>Oct-26</v>
      </c>
      <c r="B96" t="str">
        <f t="shared" si="15"/>
        <v>Oct-26|W3</v>
      </c>
      <c r="C96">
        <v>10</v>
      </c>
      <c r="D96" t="s">
        <v>110</v>
      </c>
      <c r="E96">
        <v>2026</v>
      </c>
      <c r="F96" t="s">
        <v>99</v>
      </c>
      <c r="G96" t="s">
        <v>149</v>
      </c>
      <c r="H96" s="3">
        <f t="shared" si="18"/>
        <v>46307</v>
      </c>
      <c r="I96" s="3">
        <f t="shared" si="19"/>
        <v>46313</v>
      </c>
      <c r="J96" s="1">
        <f t="shared" si="16"/>
        <v>7</v>
      </c>
      <c r="K96" s="1">
        <f t="shared" si="17"/>
        <v>0</v>
      </c>
      <c r="L96" s="26"/>
      <c r="M96" s="26"/>
      <c r="N96" s="26"/>
      <c r="O96" s="26">
        <v>12</v>
      </c>
      <c r="P96" s="26"/>
      <c r="Q96" s="26"/>
      <c r="R96" s="26"/>
      <c r="S96" s="26"/>
      <c r="T96" s="26"/>
      <c r="U96" s="26"/>
      <c r="V96" s="26">
        <v>56</v>
      </c>
      <c r="W96" s="26">
        <v>56</v>
      </c>
    </row>
    <row r="97" spans="1:23" x14ac:dyDescent="0.3">
      <c r="A97" t="str">
        <f t="shared" si="14"/>
        <v>Oct-26</v>
      </c>
      <c r="B97" t="str">
        <f t="shared" si="15"/>
        <v>Oct-26|W4</v>
      </c>
      <c r="C97">
        <v>10</v>
      </c>
      <c r="D97" t="s">
        <v>110</v>
      </c>
      <c r="E97">
        <v>2026</v>
      </c>
      <c r="F97" t="s">
        <v>100</v>
      </c>
      <c r="G97" t="s">
        <v>150</v>
      </c>
      <c r="H97" s="3">
        <f t="shared" si="18"/>
        <v>46314</v>
      </c>
      <c r="I97" s="3">
        <f t="shared" si="19"/>
        <v>46320</v>
      </c>
      <c r="J97" s="1">
        <f t="shared" si="16"/>
        <v>7</v>
      </c>
      <c r="K97" s="1">
        <f t="shared" si="17"/>
        <v>0</v>
      </c>
      <c r="L97" s="26">
        <v>24</v>
      </c>
      <c r="M97" s="26">
        <v>24</v>
      </c>
      <c r="N97" s="26">
        <v>24</v>
      </c>
      <c r="O97" s="26">
        <v>24</v>
      </c>
      <c r="P97" s="26">
        <v>24</v>
      </c>
      <c r="Q97" s="26">
        <v>24</v>
      </c>
      <c r="R97" s="26">
        <v>24</v>
      </c>
      <c r="S97" s="26"/>
      <c r="T97" s="26"/>
      <c r="U97" s="26"/>
      <c r="V97" s="26">
        <v>56</v>
      </c>
      <c r="W97" s="26">
        <v>56</v>
      </c>
    </row>
    <row r="98" spans="1:23" x14ac:dyDescent="0.3">
      <c r="A98" t="str">
        <f t="shared" si="14"/>
        <v>Nov-26</v>
      </c>
      <c r="B98" t="str">
        <f t="shared" si="15"/>
        <v>Nov-26|W1</v>
      </c>
      <c r="C98">
        <v>11</v>
      </c>
      <c r="D98" t="s">
        <v>111</v>
      </c>
      <c r="E98">
        <v>2026</v>
      </c>
      <c r="F98" t="s">
        <v>97</v>
      </c>
      <c r="G98" t="s">
        <v>151</v>
      </c>
      <c r="H98" s="3">
        <f t="shared" si="18"/>
        <v>46321</v>
      </c>
      <c r="I98" s="3">
        <f t="shared" si="19"/>
        <v>46327</v>
      </c>
      <c r="J98" s="1">
        <f t="shared" si="16"/>
        <v>1</v>
      </c>
      <c r="K98" s="1">
        <f t="shared" si="17"/>
        <v>6</v>
      </c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>
        <v>56</v>
      </c>
      <c r="W98" s="26">
        <v>56</v>
      </c>
    </row>
    <row r="99" spans="1:23" x14ac:dyDescent="0.3">
      <c r="A99" t="str">
        <f t="shared" si="14"/>
        <v>Nov-26</v>
      </c>
      <c r="B99" t="str">
        <f t="shared" si="15"/>
        <v>Nov-26|W2</v>
      </c>
      <c r="C99">
        <v>11</v>
      </c>
      <c r="D99" t="s">
        <v>111</v>
      </c>
      <c r="E99">
        <v>2026</v>
      </c>
      <c r="F99" t="s">
        <v>98</v>
      </c>
      <c r="G99" t="s">
        <v>152</v>
      </c>
      <c r="H99" s="3">
        <f t="shared" si="18"/>
        <v>46328</v>
      </c>
      <c r="I99" s="3">
        <f t="shared" si="19"/>
        <v>46334</v>
      </c>
      <c r="J99" s="1">
        <f t="shared" si="16"/>
        <v>7</v>
      </c>
      <c r="K99" s="1">
        <f t="shared" si="17"/>
        <v>0</v>
      </c>
      <c r="L99" s="26"/>
      <c r="M99" s="26"/>
      <c r="N99" s="26"/>
      <c r="O99" s="26"/>
      <c r="P99" s="26"/>
      <c r="Q99" s="26">
        <f t="shared" ref="M99:T100" si="20">1*24</f>
        <v>24</v>
      </c>
      <c r="R99" s="26">
        <f t="shared" si="20"/>
        <v>24</v>
      </c>
      <c r="S99" s="26">
        <f t="shared" si="20"/>
        <v>24</v>
      </c>
      <c r="T99" s="26">
        <f t="shared" si="20"/>
        <v>24</v>
      </c>
      <c r="U99" s="26"/>
      <c r="V99" s="26">
        <v>56</v>
      </c>
      <c r="W99" s="26">
        <v>56</v>
      </c>
    </row>
    <row r="100" spans="1:23" x14ac:dyDescent="0.3">
      <c r="A100" t="str">
        <f t="shared" si="14"/>
        <v>Nov-26</v>
      </c>
      <c r="B100" t="str">
        <f t="shared" si="15"/>
        <v>Nov-26|W3</v>
      </c>
      <c r="C100">
        <v>11</v>
      </c>
      <c r="D100" t="s">
        <v>111</v>
      </c>
      <c r="E100">
        <v>2026</v>
      </c>
      <c r="F100" t="s">
        <v>99</v>
      </c>
      <c r="G100" t="s">
        <v>153</v>
      </c>
      <c r="H100" s="3">
        <f t="shared" si="18"/>
        <v>46335</v>
      </c>
      <c r="I100" s="3">
        <f t="shared" si="19"/>
        <v>46341</v>
      </c>
      <c r="J100" s="1">
        <f t="shared" si="16"/>
        <v>7</v>
      </c>
      <c r="K100" s="1">
        <f t="shared" si="17"/>
        <v>0</v>
      </c>
      <c r="L100" s="26">
        <f>1*24</f>
        <v>24</v>
      </c>
      <c r="M100" s="26">
        <f t="shared" si="20"/>
        <v>24</v>
      </c>
      <c r="N100" s="26">
        <f t="shared" si="20"/>
        <v>24</v>
      </c>
      <c r="O100" s="26">
        <f t="shared" si="20"/>
        <v>24</v>
      </c>
      <c r="P100" s="26">
        <f t="shared" si="20"/>
        <v>24</v>
      </c>
      <c r="Q100" s="26">
        <f>2*24</f>
        <v>48</v>
      </c>
      <c r="R100" s="26">
        <f>2*24</f>
        <v>48</v>
      </c>
      <c r="S100" s="26">
        <f>2*24</f>
        <v>48</v>
      </c>
      <c r="T100" s="26">
        <f>2*24</f>
        <v>48</v>
      </c>
      <c r="U100" s="26"/>
      <c r="V100" s="26">
        <v>56</v>
      </c>
      <c r="W100" s="26">
        <v>56</v>
      </c>
    </row>
    <row r="101" spans="1:23" x14ac:dyDescent="0.3">
      <c r="A101" t="str">
        <f t="shared" si="14"/>
        <v>Nov-26</v>
      </c>
      <c r="B101" t="str">
        <f t="shared" si="15"/>
        <v>Nov-26|W4</v>
      </c>
      <c r="C101">
        <v>11</v>
      </c>
      <c r="D101" t="s">
        <v>111</v>
      </c>
      <c r="E101">
        <v>2026</v>
      </c>
      <c r="F101" t="s">
        <v>100</v>
      </c>
      <c r="G101" t="s">
        <v>154</v>
      </c>
      <c r="H101" s="3">
        <f t="shared" si="18"/>
        <v>46342</v>
      </c>
      <c r="I101" s="3">
        <f t="shared" si="19"/>
        <v>46348</v>
      </c>
      <c r="J101" s="1">
        <f t="shared" si="16"/>
        <v>7</v>
      </c>
      <c r="K101" s="1">
        <f t="shared" si="17"/>
        <v>0</v>
      </c>
      <c r="L101" s="26"/>
      <c r="M101" s="26"/>
      <c r="N101" s="26"/>
      <c r="O101" s="26"/>
      <c r="P101" s="26"/>
      <c r="Q101" s="26">
        <f>24*3</f>
        <v>72</v>
      </c>
      <c r="R101" s="26"/>
      <c r="S101" s="26"/>
      <c r="T101" s="26"/>
      <c r="U101" s="26"/>
      <c r="V101" s="26">
        <v>56</v>
      </c>
      <c r="W101" s="26">
        <v>56</v>
      </c>
    </row>
    <row r="102" spans="1:23" x14ac:dyDescent="0.3">
      <c r="A102" t="str">
        <f t="shared" si="14"/>
        <v>Dec-26</v>
      </c>
      <c r="B102" t="str">
        <f t="shared" si="15"/>
        <v>Dec-26|W1</v>
      </c>
      <c r="C102">
        <v>12</v>
      </c>
      <c r="D102" t="s">
        <v>112</v>
      </c>
      <c r="E102">
        <v>2026</v>
      </c>
      <c r="F102" t="s">
        <v>97</v>
      </c>
      <c r="G102" t="s">
        <v>155</v>
      </c>
      <c r="H102" s="3">
        <f t="shared" si="18"/>
        <v>46349</v>
      </c>
      <c r="I102" s="3">
        <f t="shared" si="19"/>
        <v>46355</v>
      </c>
      <c r="J102" s="1">
        <f t="shared" si="16"/>
        <v>0</v>
      </c>
      <c r="K102" s="1">
        <f t="shared" si="17"/>
        <v>7</v>
      </c>
      <c r="L102" s="26"/>
      <c r="M102" s="26">
        <v>48</v>
      </c>
      <c r="N102" s="26">
        <v>48</v>
      </c>
      <c r="O102" s="26">
        <v>24</v>
      </c>
      <c r="P102" s="26"/>
      <c r="Q102" s="26"/>
      <c r="R102" s="26"/>
      <c r="S102" s="26"/>
      <c r="T102" s="26"/>
      <c r="U102" s="26"/>
      <c r="V102" s="26">
        <v>56</v>
      </c>
      <c r="W102" s="26">
        <v>56</v>
      </c>
    </row>
    <row r="103" spans="1:23" x14ac:dyDescent="0.3">
      <c r="A103" t="str">
        <f t="shared" si="14"/>
        <v>Dec-26</v>
      </c>
      <c r="B103" t="str">
        <f t="shared" si="15"/>
        <v>Dec-26|W2</v>
      </c>
      <c r="C103">
        <v>12</v>
      </c>
      <c r="D103" t="s">
        <v>112</v>
      </c>
      <c r="E103">
        <v>2026</v>
      </c>
      <c r="F103" t="s">
        <v>98</v>
      </c>
      <c r="G103" t="s">
        <v>156</v>
      </c>
      <c r="H103" s="3">
        <f t="shared" si="18"/>
        <v>46356</v>
      </c>
      <c r="I103" s="3">
        <f t="shared" si="19"/>
        <v>46362</v>
      </c>
      <c r="J103" s="1">
        <f t="shared" si="16"/>
        <v>6</v>
      </c>
      <c r="K103" s="1">
        <f t="shared" si="17"/>
        <v>1</v>
      </c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>
        <v>56</v>
      </c>
      <c r="W103" s="26">
        <v>56</v>
      </c>
    </row>
    <row r="104" spans="1:23" x14ac:dyDescent="0.3">
      <c r="A104" t="str">
        <f t="shared" si="14"/>
        <v>Dec-26</v>
      </c>
      <c r="B104" t="str">
        <f t="shared" si="15"/>
        <v>Dec-26|W3</v>
      </c>
      <c r="C104">
        <v>12</v>
      </c>
      <c r="D104" t="s">
        <v>112</v>
      </c>
      <c r="E104">
        <v>2026</v>
      </c>
      <c r="F104" t="s">
        <v>99</v>
      </c>
      <c r="G104" t="s">
        <v>157</v>
      </c>
      <c r="H104" s="3">
        <f t="shared" si="18"/>
        <v>46363</v>
      </c>
      <c r="I104" s="3">
        <f t="shared" si="19"/>
        <v>46369</v>
      </c>
      <c r="J104" s="1">
        <f t="shared" si="16"/>
        <v>7</v>
      </c>
      <c r="K104" s="1">
        <f t="shared" si="17"/>
        <v>0</v>
      </c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>
        <v>56</v>
      </c>
      <c r="W104" s="26">
        <v>56</v>
      </c>
    </row>
    <row r="105" spans="1:23" x14ac:dyDescent="0.3">
      <c r="A105" t="str">
        <f t="shared" si="14"/>
        <v>Dec-26</v>
      </c>
      <c r="B105" t="str">
        <f t="shared" si="15"/>
        <v>Dec-26|W4</v>
      </c>
      <c r="C105">
        <v>12</v>
      </c>
      <c r="D105" t="s">
        <v>112</v>
      </c>
      <c r="E105">
        <v>2026</v>
      </c>
      <c r="F105" t="s">
        <v>100</v>
      </c>
      <c r="G105" t="s">
        <v>158</v>
      </c>
      <c r="H105" s="3">
        <f t="shared" si="18"/>
        <v>46370</v>
      </c>
      <c r="I105" s="3">
        <f t="shared" si="19"/>
        <v>46376</v>
      </c>
      <c r="J105" s="1">
        <f t="shared" si="16"/>
        <v>7</v>
      </c>
      <c r="K105" s="1">
        <f t="shared" si="17"/>
        <v>0</v>
      </c>
      <c r="L105" s="26">
        <v>12</v>
      </c>
      <c r="M105" s="26">
        <v>12</v>
      </c>
      <c r="N105" s="26">
        <f>2.5*24</f>
        <v>60</v>
      </c>
      <c r="O105" s="26">
        <v>24</v>
      </c>
      <c r="P105" s="26">
        <v>12</v>
      </c>
      <c r="Q105" s="26"/>
      <c r="R105" s="26"/>
      <c r="S105" s="26"/>
      <c r="T105" s="26"/>
      <c r="U105" s="26"/>
      <c r="V105" s="26">
        <v>56</v>
      </c>
      <c r="W105" s="26">
        <v>56</v>
      </c>
    </row>
    <row r="106" spans="1:23" x14ac:dyDescent="0.3">
      <c r="A106" t="str">
        <f>D106&amp;"-"&amp;RIGHT(E106,2)</f>
        <v>Dec-26</v>
      </c>
      <c r="B106" t="str">
        <f>A106&amp;"|"&amp;F106</f>
        <v>Dec-26|W5</v>
      </c>
      <c r="C106">
        <v>12</v>
      </c>
      <c r="D106" t="s">
        <v>112</v>
      </c>
      <c r="E106">
        <v>2026</v>
      </c>
      <c r="F106" t="s">
        <v>103</v>
      </c>
      <c r="G106" t="s">
        <v>159</v>
      </c>
      <c r="H106" s="3">
        <f>I105+1</f>
        <v>46377</v>
      </c>
      <c r="I106" s="3">
        <f>H106+6</f>
        <v>46383</v>
      </c>
      <c r="J106" s="1">
        <f t="shared" si="16"/>
        <v>7</v>
      </c>
      <c r="K106" s="1">
        <f t="shared" si="17"/>
        <v>0</v>
      </c>
      <c r="L106" s="26">
        <v>24</v>
      </c>
      <c r="M106" s="26">
        <v>24</v>
      </c>
      <c r="N106" s="26">
        <v>24</v>
      </c>
      <c r="O106" s="26">
        <v>24</v>
      </c>
      <c r="P106" s="26">
        <v>24</v>
      </c>
      <c r="Q106" s="26">
        <v>24</v>
      </c>
      <c r="R106" s="26">
        <v>24</v>
      </c>
      <c r="S106" s="26">
        <v>24</v>
      </c>
      <c r="T106" s="26">
        <v>24</v>
      </c>
      <c r="U106" s="26"/>
      <c r="V106" s="26">
        <v>56</v>
      </c>
      <c r="W106" s="26">
        <v>56</v>
      </c>
    </row>
    <row r="107" spans="1:23" x14ac:dyDescent="0.3">
      <c r="A107" t="str">
        <f t="shared" ref="A107:A158" si="21">D107&amp;"-"&amp;RIGHT(E107,2)</f>
        <v>Jan-27</v>
      </c>
      <c r="B107" t="str">
        <f t="shared" ref="B107:B158" si="22">A107&amp;"|"&amp;F107</f>
        <v>Jan-27|W1</v>
      </c>
      <c r="C107">
        <v>1</v>
      </c>
      <c r="D107" t="s">
        <v>96</v>
      </c>
      <c r="E107">
        <v>2027</v>
      </c>
      <c r="F107" t="s">
        <v>97</v>
      </c>
      <c r="G107" s="2" t="s">
        <v>97</v>
      </c>
      <c r="H107" s="3">
        <f t="shared" ref="H107:H158" si="23">I106+1</f>
        <v>46384</v>
      </c>
      <c r="I107" s="3">
        <f t="shared" ref="I107:I158" si="24">H107+6</f>
        <v>46390</v>
      </c>
      <c r="J107" s="1">
        <f t="shared" si="16"/>
        <v>3</v>
      </c>
      <c r="K107" s="1">
        <f t="shared" si="17"/>
        <v>4</v>
      </c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>
        <v>56</v>
      </c>
      <c r="W107" s="26">
        <v>56</v>
      </c>
    </row>
    <row r="108" spans="1:23" x14ac:dyDescent="0.3">
      <c r="A108" t="str">
        <f t="shared" si="21"/>
        <v>Jan-27</v>
      </c>
      <c r="B108" t="str">
        <f t="shared" si="22"/>
        <v>Jan-27|W2</v>
      </c>
      <c r="C108">
        <v>1</v>
      </c>
      <c r="D108" t="s">
        <v>96</v>
      </c>
      <c r="E108">
        <v>2027</v>
      </c>
      <c r="F108" t="s">
        <v>98</v>
      </c>
      <c r="G108" t="s">
        <v>98</v>
      </c>
      <c r="H108" s="3">
        <f t="shared" si="23"/>
        <v>46391</v>
      </c>
      <c r="I108" s="3">
        <f t="shared" si="24"/>
        <v>46397</v>
      </c>
      <c r="J108" s="1">
        <f t="shared" si="16"/>
        <v>7</v>
      </c>
      <c r="K108" s="1">
        <f t="shared" si="17"/>
        <v>0</v>
      </c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>
        <v>56</v>
      </c>
      <c r="W108" s="26">
        <v>56</v>
      </c>
    </row>
    <row r="109" spans="1:23" x14ac:dyDescent="0.3">
      <c r="A109" t="str">
        <f t="shared" si="21"/>
        <v>Jan-27</v>
      </c>
      <c r="B109" t="str">
        <f t="shared" si="22"/>
        <v>Jan-27|W3</v>
      </c>
      <c r="C109">
        <v>1</v>
      </c>
      <c r="D109" t="s">
        <v>96</v>
      </c>
      <c r="E109">
        <v>2027</v>
      </c>
      <c r="F109" t="s">
        <v>99</v>
      </c>
      <c r="G109" t="s">
        <v>99</v>
      </c>
      <c r="H109" s="3">
        <f t="shared" si="23"/>
        <v>46398</v>
      </c>
      <c r="I109" s="3">
        <f t="shared" si="24"/>
        <v>46404</v>
      </c>
      <c r="J109" s="1">
        <f t="shared" si="16"/>
        <v>7</v>
      </c>
      <c r="K109" s="1">
        <f t="shared" si="17"/>
        <v>0</v>
      </c>
      <c r="L109" s="26">
        <v>24</v>
      </c>
      <c r="M109" s="26">
        <v>24</v>
      </c>
      <c r="N109" s="26">
        <v>24</v>
      </c>
      <c r="O109" s="26">
        <v>24</v>
      </c>
      <c r="P109" s="26">
        <v>24</v>
      </c>
      <c r="Q109" s="26"/>
      <c r="R109" s="26"/>
      <c r="S109" s="26"/>
      <c r="T109" s="26"/>
      <c r="U109" s="26"/>
      <c r="V109" s="26">
        <v>56</v>
      </c>
      <c r="W109" s="26">
        <v>56</v>
      </c>
    </row>
    <row r="110" spans="1:23" x14ac:dyDescent="0.3">
      <c r="A110" t="str">
        <f t="shared" si="21"/>
        <v>Jan-27</v>
      </c>
      <c r="B110" t="str">
        <f t="shared" si="22"/>
        <v>Jan-27|W4</v>
      </c>
      <c r="C110">
        <v>1</v>
      </c>
      <c r="D110" t="s">
        <v>96</v>
      </c>
      <c r="E110">
        <v>2027</v>
      </c>
      <c r="F110" t="s">
        <v>100</v>
      </c>
      <c r="G110" t="s">
        <v>100</v>
      </c>
      <c r="H110" s="3">
        <f t="shared" si="23"/>
        <v>46405</v>
      </c>
      <c r="I110" s="3">
        <f t="shared" si="24"/>
        <v>46411</v>
      </c>
      <c r="J110" s="1">
        <f t="shared" si="16"/>
        <v>7</v>
      </c>
      <c r="K110" s="1">
        <f t="shared" si="17"/>
        <v>0</v>
      </c>
      <c r="L110" s="26"/>
      <c r="M110" s="26"/>
      <c r="N110" s="26"/>
      <c r="O110" s="26">
        <v>24</v>
      </c>
      <c r="P110" s="26"/>
      <c r="Q110" s="26"/>
      <c r="R110" s="26"/>
      <c r="S110" s="26"/>
      <c r="T110" s="26"/>
      <c r="U110" s="26"/>
      <c r="V110" s="26">
        <v>56</v>
      </c>
      <c r="W110" s="26">
        <v>56</v>
      </c>
    </row>
    <row r="111" spans="1:23" x14ac:dyDescent="0.3">
      <c r="A111" t="str">
        <f t="shared" si="21"/>
        <v>Feb-27</v>
      </c>
      <c r="B111" t="str">
        <f t="shared" si="22"/>
        <v>Feb-27|W1</v>
      </c>
      <c r="C111">
        <v>2</v>
      </c>
      <c r="D111" t="s">
        <v>101</v>
      </c>
      <c r="E111">
        <v>2027</v>
      </c>
      <c r="F111" t="s">
        <v>97</v>
      </c>
      <c r="G111" t="s">
        <v>103</v>
      </c>
      <c r="H111" s="3">
        <f t="shared" si="23"/>
        <v>46412</v>
      </c>
      <c r="I111" s="3">
        <f t="shared" si="24"/>
        <v>46418</v>
      </c>
      <c r="J111" s="1">
        <f t="shared" si="16"/>
        <v>0</v>
      </c>
      <c r="K111" s="1">
        <f t="shared" si="17"/>
        <v>7</v>
      </c>
      <c r="L111" s="26">
        <v>24</v>
      </c>
      <c r="M111" s="26">
        <v>24</v>
      </c>
      <c r="N111" s="26">
        <v>24</v>
      </c>
      <c r="O111" s="26">
        <v>24</v>
      </c>
      <c r="P111" s="26">
        <v>24</v>
      </c>
      <c r="Q111" s="26">
        <v>24</v>
      </c>
      <c r="R111" s="26">
        <v>24</v>
      </c>
      <c r="S111" s="26">
        <v>24</v>
      </c>
      <c r="T111" s="26">
        <v>24</v>
      </c>
      <c r="U111" s="26"/>
      <c r="V111" s="26">
        <v>56</v>
      </c>
      <c r="W111" s="26">
        <v>56</v>
      </c>
    </row>
    <row r="112" spans="1:23" x14ac:dyDescent="0.3">
      <c r="A112" t="str">
        <f t="shared" si="21"/>
        <v>Feb-27</v>
      </c>
      <c r="B112" t="str">
        <f t="shared" si="22"/>
        <v>Feb-27|W2</v>
      </c>
      <c r="C112">
        <v>2</v>
      </c>
      <c r="D112" t="s">
        <v>101</v>
      </c>
      <c r="E112">
        <v>2027</v>
      </c>
      <c r="F112" t="s">
        <v>98</v>
      </c>
      <c r="G112" t="s">
        <v>113</v>
      </c>
      <c r="H112" s="3">
        <f t="shared" si="23"/>
        <v>46419</v>
      </c>
      <c r="I112" s="3">
        <f t="shared" si="24"/>
        <v>46425</v>
      </c>
      <c r="J112" s="1">
        <f t="shared" si="16"/>
        <v>7</v>
      </c>
      <c r="K112" s="1">
        <f t="shared" si="17"/>
        <v>0</v>
      </c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>
        <v>56</v>
      </c>
      <c r="W112" s="26">
        <v>56</v>
      </c>
    </row>
    <row r="113" spans="1:23" x14ac:dyDescent="0.3">
      <c r="A113" t="str">
        <f t="shared" si="21"/>
        <v>Feb-27</v>
      </c>
      <c r="B113" t="str">
        <f t="shared" si="22"/>
        <v>Feb-27|W3</v>
      </c>
      <c r="C113">
        <v>2</v>
      </c>
      <c r="D113" t="s">
        <v>101</v>
      </c>
      <c r="E113">
        <v>2027</v>
      </c>
      <c r="F113" t="s">
        <v>99</v>
      </c>
      <c r="G113" t="s">
        <v>114</v>
      </c>
      <c r="H113" s="3">
        <f t="shared" si="23"/>
        <v>46426</v>
      </c>
      <c r="I113" s="3">
        <f t="shared" si="24"/>
        <v>46432</v>
      </c>
      <c r="J113" s="1">
        <f t="shared" si="16"/>
        <v>7</v>
      </c>
      <c r="K113" s="1">
        <f t="shared" si="17"/>
        <v>0</v>
      </c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>
        <v>56</v>
      </c>
      <c r="W113" s="26">
        <v>56</v>
      </c>
    </row>
    <row r="114" spans="1:23" x14ac:dyDescent="0.3">
      <c r="A114" t="str">
        <f t="shared" si="21"/>
        <v>Feb-27</v>
      </c>
      <c r="B114" t="str">
        <f t="shared" si="22"/>
        <v>Feb-27|W4</v>
      </c>
      <c r="C114">
        <v>2</v>
      </c>
      <c r="D114" t="s">
        <v>101</v>
      </c>
      <c r="E114">
        <v>2027</v>
      </c>
      <c r="F114" t="s">
        <v>100</v>
      </c>
      <c r="G114" t="s">
        <v>115</v>
      </c>
      <c r="H114" s="3">
        <f t="shared" si="23"/>
        <v>46433</v>
      </c>
      <c r="I114" s="3">
        <f t="shared" si="24"/>
        <v>46439</v>
      </c>
      <c r="J114" s="1">
        <f t="shared" si="16"/>
        <v>7</v>
      </c>
      <c r="K114" s="1">
        <f t="shared" si="17"/>
        <v>0</v>
      </c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>
        <v>56</v>
      </c>
      <c r="W114" s="26">
        <v>56</v>
      </c>
    </row>
    <row r="115" spans="1:23" x14ac:dyDescent="0.3">
      <c r="A115" t="str">
        <f t="shared" si="21"/>
        <v>Mar-27</v>
      </c>
      <c r="B115" t="str">
        <f t="shared" si="22"/>
        <v>Mar-27|W1</v>
      </c>
      <c r="C115">
        <v>3</v>
      </c>
      <c r="D115" t="s">
        <v>102</v>
      </c>
      <c r="E115">
        <v>2027</v>
      </c>
      <c r="F115" t="s">
        <v>97</v>
      </c>
      <c r="G115" t="s">
        <v>116</v>
      </c>
      <c r="H115" s="3">
        <f t="shared" si="23"/>
        <v>46440</v>
      </c>
      <c r="I115" s="3">
        <f t="shared" si="24"/>
        <v>46446</v>
      </c>
      <c r="J115" s="1">
        <f t="shared" si="16"/>
        <v>0</v>
      </c>
      <c r="K115" s="1">
        <f t="shared" si="17"/>
        <v>7</v>
      </c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>
        <v>56</v>
      </c>
      <c r="W115" s="26">
        <v>56</v>
      </c>
    </row>
    <row r="116" spans="1:23" x14ac:dyDescent="0.3">
      <c r="A116" t="str">
        <f t="shared" si="21"/>
        <v>Mar-27</v>
      </c>
      <c r="B116" t="str">
        <f t="shared" si="22"/>
        <v>Mar-27|W2</v>
      </c>
      <c r="C116">
        <v>3</v>
      </c>
      <c r="D116" t="s">
        <v>102</v>
      </c>
      <c r="E116">
        <v>2027</v>
      </c>
      <c r="F116" t="s">
        <v>98</v>
      </c>
      <c r="G116" t="s">
        <v>117</v>
      </c>
      <c r="H116" s="3">
        <f t="shared" si="23"/>
        <v>46447</v>
      </c>
      <c r="I116" s="3">
        <f t="shared" si="24"/>
        <v>46453</v>
      </c>
      <c r="J116" s="1">
        <f t="shared" si="16"/>
        <v>7</v>
      </c>
      <c r="K116" s="1">
        <f t="shared" si="17"/>
        <v>0</v>
      </c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>
        <v>56</v>
      </c>
      <c r="W116" s="26">
        <v>56</v>
      </c>
    </row>
    <row r="117" spans="1:23" x14ac:dyDescent="0.3">
      <c r="A117" t="str">
        <f t="shared" si="21"/>
        <v>Mar-27</v>
      </c>
      <c r="B117" t="str">
        <f t="shared" si="22"/>
        <v>Mar-27|W3</v>
      </c>
      <c r="C117">
        <v>3</v>
      </c>
      <c r="D117" t="s">
        <v>102</v>
      </c>
      <c r="E117">
        <v>2027</v>
      </c>
      <c r="F117" t="s">
        <v>99</v>
      </c>
      <c r="G117" t="s">
        <v>118</v>
      </c>
      <c r="H117" s="3">
        <f t="shared" si="23"/>
        <v>46454</v>
      </c>
      <c r="I117" s="3">
        <f t="shared" si="24"/>
        <v>46460</v>
      </c>
      <c r="J117" s="1">
        <f t="shared" si="16"/>
        <v>7</v>
      </c>
      <c r="K117" s="1">
        <f t="shared" si="17"/>
        <v>0</v>
      </c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>
        <v>56</v>
      </c>
      <c r="W117" s="26">
        <v>56</v>
      </c>
    </row>
    <row r="118" spans="1:23" x14ac:dyDescent="0.3">
      <c r="A118" t="str">
        <f t="shared" si="21"/>
        <v>Mar-27</v>
      </c>
      <c r="B118" t="str">
        <f t="shared" si="22"/>
        <v>Mar-27|W4</v>
      </c>
      <c r="C118">
        <v>3</v>
      </c>
      <c r="D118" t="s">
        <v>102</v>
      </c>
      <c r="E118">
        <v>2027</v>
      </c>
      <c r="F118" t="s">
        <v>100</v>
      </c>
      <c r="G118" t="s">
        <v>119</v>
      </c>
      <c r="H118" s="3">
        <f t="shared" si="23"/>
        <v>46461</v>
      </c>
      <c r="I118" s="3">
        <f t="shared" si="24"/>
        <v>46467</v>
      </c>
      <c r="J118" s="1">
        <f t="shared" si="16"/>
        <v>7</v>
      </c>
      <c r="K118" s="1">
        <f t="shared" si="17"/>
        <v>0</v>
      </c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>
        <v>56</v>
      </c>
      <c r="W118" s="26">
        <v>56</v>
      </c>
    </row>
    <row r="119" spans="1:23" x14ac:dyDescent="0.3">
      <c r="A119" t="str">
        <f t="shared" si="21"/>
        <v>Mar-27</v>
      </c>
      <c r="B119" t="str">
        <f t="shared" si="22"/>
        <v>Mar-27|W5</v>
      </c>
      <c r="C119">
        <v>3</v>
      </c>
      <c r="D119" t="s">
        <v>102</v>
      </c>
      <c r="E119">
        <v>2027</v>
      </c>
      <c r="F119" t="s">
        <v>103</v>
      </c>
      <c r="G119" t="s">
        <v>120</v>
      </c>
      <c r="H119" s="3">
        <f t="shared" si="23"/>
        <v>46468</v>
      </c>
      <c r="I119" s="3">
        <f t="shared" si="24"/>
        <v>46474</v>
      </c>
      <c r="J119" s="1">
        <f t="shared" si="16"/>
        <v>7</v>
      </c>
      <c r="K119" s="1">
        <f t="shared" si="17"/>
        <v>0</v>
      </c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>
        <v>56</v>
      </c>
      <c r="W119" s="26">
        <v>56</v>
      </c>
    </row>
    <row r="120" spans="1:23" x14ac:dyDescent="0.3">
      <c r="A120" t="str">
        <f t="shared" si="21"/>
        <v>Apr-27</v>
      </c>
      <c r="B120" t="str">
        <f t="shared" si="22"/>
        <v>Apr-27|W1</v>
      </c>
      <c r="C120">
        <v>4</v>
      </c>
      <c r="D120" t="s">
        <v>104</v>
      </c>
      <c r="E120">
        <v>2027</v>
      </c>
      <c r="F120" t="s">
        <v>97</v>
      </c>
      <c r="G120" t="s">
        <v>121</v>
      </c>
      <c r="H120" s="3">
        <f t="shared" si="23"/>
        <v>46475</v>
      </c>
      <c r="I120" s="3">
        <f t="shared" si="24"/>
        <v>46481</v>
      </c>
      <c r="J120" s="1">
        <f t="shared" si="16"/>
        <v>4</v>
      </c>
      <c r="K120" s="1">
        <f t="shared" si="17"/>
        <v>3</v>
      </c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>
        <v>56</v>
      </c>
      <c r="W120" s="26">
        <v>56</v>
      </c>
    </row>
    <row r="121" spans="1:23" x14ac:dyDescent="0.3">
      <c r="A121" t="str">
        <f t="shared" si="21"/>
        <v>Apr-27</v>
      </c>
      <c r="B121" t="str">
        <f t="shared" si="22"/>
        <v>Apr-27|W2</v>
      </c>
      <c r="C121">
        <v>4</v>
      </c>
      <c r="D121" t="s">
        <v>104</v>
      </c>
      <c r="E121">
        <v>2027</v>
      </c>
      <c r="F121" t="s">
        <v>98</v>
      </c>
      <c r="G121" t="s">
        <v>122</v>
      </c>
      <c r="H121" s="3">
        <f t="shared" si="23"/>
        <v>46482</v>
      </c>
      <c r="I121" s="3">
        <f t="shared" si="24"/>
        <v>46488</v>
      </c>
      <c r="J121" s="1">
        <f t="shared" si="16"/>
        <v>7</v>
      </c>
      <c r="K121" s="1">
        <f t="shared" si="17"/>
        <v>0</v>
      </c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>
        <v>56</v>
      </c>
      <c r="W121" s="26">
        <v>56</v>
      </c>
    </row>
    <row r="122" spans="1:23" x14ac:dyDescent="0.3">
      <c r="A122" t="str">
        <f t="shared" si="21"/>
        <v>Apr-27</v>
      </c>
      <c r="B122" t="str">
        <f t="shared" si="22"/>
        <v>Apr-27|W3</v>
      </c>
      <c r="C122">
        <v>4</v>
      </c>
      <c r="D122" t="s">
        <v>104</v>
      </c>
      <c r="E122">
        <v>2027</v>
      </c>
      <c r="F122" t="s">
        <v>99</v>
      </c>
      <c r="G122" t="s">
        <v>123</v>
      </c>
      <c r="H122" s="3">
        <f t="shared" si="23"/>
        <v>46489</v>
      </c>
      <c r="I122" s="3">
        <f t="shared" si="24"/>
        <v>46495</v>
      </c>
      <c r="J122" s="1">
        <f t="shared" si="16"/>
        <v>7</v>
      </c>
      <c r="K122" s="1">
        <f t="shared" si="17"/>
        <v>0</v>
      </c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>
        <v>56</v>
      </c>
      <c r="W122" s="26">
        <v>56</v>
      </c>
    </row>
    <row r="123" spans="1:23" x14ac:dyDescent="0.3">
      <c r="A123" t="str">
        <f t="shared" si="21"/>
        <v>Apr-27</v>
      </c>
      <c r="B123" t="str">
        <f t="shared" si="22"/>
        <v>Apr-27|W4</v>
      </c>
      <c r="C123">
        <v>4</v>
      </c>
      <c r="D123" t="s">
        <v>104</v>
      </c>
      <c r="E123">
        <v>2027</v>
      </c>
      <c r="F123" t="s">
        <v>100</v>
      </c>
      <c r="G123" t="s">
        <v>124</v>
      </c>
      <c r="H123" s="3">
        <f t="shared" si="23"/>
        <v>46496</v>
      </c>
      <c r="I123" s="3">
        <f t="shared" si="24"/>
        <v>46502</v>
      </c>
      <c r="J123" s="1">
        <f t="shared" si="16"/>
        <v>7</v>
      </c>
      <c r="K123" s="1">
        <f t="shared" si="17"/>
        <v>0</v>
      </c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>
        <v>56</v>
      </c>
      <c r="W123" s="26">
        <v>56</v>
      </c>
    </row>
    <row r="124" spans="1:23" x14ac:dyDescent="0.3">
      <c r="A124" t="str">
        <f t="shared" si="21"/>
        <v>May-27</v>
      </c>
      <c r="B124" t="str">
        <f t="shared" si="22"/>
        <v>May-27|W1</v>
      </c>
      <c r="C124">
        <v>5</v>
      </c>
      <c r="D124" t="s">
        <v>105</v>
      </c>
      <c r="E124">
        <v>2027</v>
      </c>
      <c r="F124" t="s">
        <v>97</v>
      </c>
      <c r="G124" t="s">
        <v>125</v>
      </c>
      <c r="H124" s="3">
        <f t="shared" si="23"/>
        <v>46503</v>
      </c>
      <c r="I124" s="3">
        <f t="shared" si="24"/>
        <v>46509</v>
      </c>
      <c r="J124" s="1">
        <f t="shared" si="16"/>
        <v>2</v>
      </c>
      <c r="K124" s="1">
        <f t="shared" si="17"/>
        <v>5</v>
      </c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>
        <v>56</v>
      </c>
      <c r="W124" s="26">
        <v>56</v>
      </c>
    </row>
    <row r="125" spans="1:23" x14ac:dyDescent="0.3">
      <c r="A125" t="str">
        <f t="shared" si="21"/>
        <v>May-27</v>
      </c>
      <c r="B125" t="str">
        <f t="shared" si="22"/>
        <v>May-27|W2</v>
      </c>
      <c r="C125">
        <v>5</v>
      </c>
      <c r="D125" t="s">
        <v>105</v>
      </c>
      <c r="E125">
        <v>2027</v>
      </c>
      <c r="F125" t="s">
        <v>98</v>
      </c>
      <c r="G125" t="s">
        <v>126</v>
      </c>
      <c r="H125" s="3">
        <f t="shared" si="23"/>
        <v>46510</v>
      </c>
      <c r="I125" s="3">
        <f t="shared" si="24"/>
        <v>46516</v>
      </c>
      <c r="J125" s="1">
        <f t="shared" si="16"/>
        <v>7</v>
      </c>
      <c r="K125" s="1">
        <f t="shared" si="17"/>
        <v>0</v>
      </c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>
        <v>56</v>
      </c>
      <c r="W125" s="26">
        <v>56</v>
      </c>
    </row>
    <row r="126" spans="1:23" x14ac:dyDescent="0.3">
      <c r="A126" t="str">
        <f t="shared" si="21"/>
        <v>May-27</v>
      </c>
      <c r="B126" t="str">
        <f t="shared" si="22"/>
        <v>May-27|W3</v>
      </c>
      <c r="C126">
        <v>5</v>
      </c>
      <c r="D126" t="s">
        <v>105</v>
      </c>
      <c r="E126">
        <v>2027</v>
      </c>
      <c r="F126" t="s">
        <v>99</v>
      </c>
      <c r="G126" t="s">
        <v>127</v>
      </c>
      <c r="H126" s="3">
        <f t="shared" si="23"/>
        <v>46517</v>
      </c>
      <c r="I126" s="3">
        <f t="shared" si="24"/>
        <v>46523</v>
      </c>
      <c r="J126" s="1">
        <f t="shared" si="16"/>
        <v>7</v>
      </c>
      <c r="K126" s="1">
        <f t="shared" si="17"/>
        <v>0</v>
      </c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>
        <v>56</v>
      </c>
      <c r="W126" s="26">
        <v>56</v>
      </c>
    </row>
    <row r="127" spans="1:23" x14ac:dyDescent="0.3">
      <c r="A127" t="str">
        <f t="shared" si="21"/>
        <v>May-27</v>
      </c>
      <c r="B127" t="str">
        <f t="shared" si="22"/>
        <v>May-27|W4</v>
      </c>
      <c r="C127">
        <v>5</v>
      </c>
      <c r="D127" t="s">
        <v>105</v>
      </c>
      <c r="E127">
        <v>2027</v>
      </c>
      <c r="F127" t="s">
        <v>100</v>
      </c>
      <c r="G127" t="s">
        <v>128</v>
      </c>
      <c r="H127" s="3">
        <f t="shared" si="23"/>
        <v>46524</v>
      </c>
      <c r="I127" s="3">
        <f t="shared" si="24"/>
        <v>46530</v>
      </c>
      <c r="J127" s="1">
        <f t="shared" si="16"/>
        <v>7</v>
      </c>
      <c r="K127" s="1">
        <f t="shared" si="17"/>
        <v>0</v>
      </c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>
        <v>56</v>
      </c>
      <c r="W127" s="26">
        <v>56</v>
      </c>
    </row>
    <row r="128" spans="1:23" x14ac:dyDescent="0.3">
      <c r="A128" t="str">
        <f t="shared" si="21"/>
        <v>Jun-27</v>
      </c>
      <c r="B128" t="str">
        <f t="shared" si="22"/>
        <v>Jun-27|W1</v>
      </c>
      <c r="C128">
        <v>6</v>
      </c>
      <c r="D128" t="s">
        <v>106</v>
      </c>
      <c r="E128">
        <v>2027</v>
      </c>
      <c r="F128" t="s">
        <v>97</v>
      </c>
      <c r="G128" t="s">
        <v>129</v>
      </c>
      <c r="H128" s="3">
        <f t="shared" si="23"/>
        <v>46531</v>
      </c>
      <c r="I128" s="3">
        <f t="shared" si="24"/>
        <v>46537</v>
      </c>
      <c r="J128" s="1">
        <f t="shared" si="16"/>
        <v>0</v>
      </c>
      <c r="K128" s="1">
        <f t="shared" si="17"/>
        <v>7</v>
      </c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>
        <v>56</v>
      </c>
      <c r="W128" s="26">
        <v>56</v>
      </c>
    </row>
    <row r="129" spans="1:23" x14ac:dyDescent="0.3">
      <c r="A129" t="str">
        <f t="shared" si="21"/>
        <v>Jun-27</v>
      </c>
      <c r="B129" t="str">
        <f t="shared" si="22"/>
        <v>Jun-27|W2</v>
      </c>
      <c r="C129">
        <v>6</v>
      </c>
      <c r="D129" t="s">
        <v>106</v>
      </c>
      <c r="E129">
        <v>2027</v>
      </c>
      <c r="F129" t="s">
        <v>98</v>
      </c>
      <c r="G129" t="s">
        <v>130</v>
      </c>
      <c r="H129" s="3">
        <f t="shared" si="23"/>
        <v>46538</v>
      </c>
      <c r="I129" s="3">
        <f t="shared" si="24"/>
        <v>46544</v>
      </c>
      <c r="J129" s="1">
        <f t="shared" si="16"/>
        <v>6</v>
      </c>
      <c r="K129" s="1">
        <f t="shared" si="17"/>
        <v>1</v>
      </c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>
        <v>56</v>
      </c>
      <c r="W129" s="26">
        <v>56</v>
      </c>
    </row>
    <row r="130" spans="1:23" x14ac:dyDescent="0.3">
      <c r="A130" t="str">
        <f t="shared" si="21"/>
        <v>Jun-27</v>
      </c>
      <c r="B130" t="str">
        <f t="shared" si="22"/>
        <v>Jun-27|W3</v>
      </c>
      <c r="C130">
        <v>6</v>
      </c>
      <c r="D130" t="s">
        <v>106</v>
      </c>
      <c r="E130">
        <v>2027</v>
      </c>
      <c r="F130" t="s">
        <v>99</v>
      </c>
      <c r="G130" t="s">
        <v>131</v>
      </c>
      <c r="H130" s="3">
        <f t="shared" si="23"/>
        <v>46545</v>
      </c>
      <c r="I130" s="3">
        <f t="shared" si="24"/>
        <v>46551</v>
      </c>
      <c r="J130" s="1">
        <f t="shared" si="16"/>
        <v>7</v>
      </c>
      <c r="K130" s="1">
        <f t="shared" si="17"/>
        <v>0</v>
      </c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>
        <v>56</v>
      </c>
      <c r="W130" s="26">
        <v>56</v>
      </c>
    </row>
    <row r="131" spans="1:23" x14ac:dyDescent="0.3">
      <c r="A131" t="str">
        <f t="shared" si="21"/>
        <v>Jun-27</v>
      </c>
      <c r="B131" t="str">
        <f t="shared" si="22"/>
        <v>Jun-27|W4</v>
      </c>
      <c r="C131">
        <v>6</v>
      </c>
      <c r="D131" t="s">
        <v>106</v>
      </c>
      <c r="E131">
        <v>2027</v>
      </c>
      <c r="F131" t="s">
        <v>100</v>
      </c>
      <c r="G131" t="s">
        <v>132</v>
      </c>
      <c r="H131" s="3">
        <f t="shared" si="23"/>
        <v>46552</v>
      </c>
      <c r="I131" s="3">
        <f t="shared" si="24"/>
        <v>46558</v>
      </c>
      <c r="J131" s="1">
        <f t="shared" si="16"/>
        <v>7</v>
      </c>
      <c r="K131" s="1">
        <f t="shared" si="17"/>
        <v>0</v>
      </c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>
        <v>56</v>
      </c>
      <c r="W131" s="26">
        <v>56</v>
      </c>
    </row>
    <row r="132" spans="1:23" x14ac:dyDescent="0.3">
      <c r="A132" t="str">
        <f t="shared" si="21"/>
        <v>Jun-27</v>
      </c>
      <c r="B132" t="str">
        <f t="shared" si="22"/>
        <v>Jun-27|W5</v>
      </c>
      <c r="C132">
        <v>6</v>
      </c>
      <c r="D132" t="s">
        <v>106</v>
      </c>
      <c r="E132">
        <v>2027</v>
      </c>
      <c r="F132" t="s">
        <v>103</v>
      </c>
      <c r="G132" t="s">
        <v>133</v>
      </c>
      <c r="H132" s="3">
        <f t="shared" si="23"/>
        <v>46559</v>
      </c>
      <c r="I132" s="3">
        <f t="shared" si="24"/>
        <v>46565</v>
      </c>
      <c r="J132" s="1">
        <f t="shared" si="16"/>
        <v>7</v>
      </c>
      <c r="K132" s="1">
        <f t="shared" si="17"/>
        <v>0</v>
      </c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>
        <v>56</v>
      </c>
      <c r="W132" s="26">
        <v>56</v>
      </c>
    </row>
    <row r="133" spans="1:23" x14ac:dyDescent="0.3">
      <c r="A133" t="str">
        <f t="shared" si="21"/>
        <v>Jul-27</v>
      </c>
      <c r="B133" t="str">
        <f t="shared" si="22"/>
        <v>Jul-27|W1</v>
      </c>
      <c r="C133">
        <v>7</v>
      </c>
      <c r="D133" t="s">
        <v>107</v>
      </c>
      <c r="E133">
        <v>2027</v>
      </c>
      <c r="F133" t="s">
        <v>97</v>
      </c>
      <c r="G133" t="s">
        <v>134</v>
      </c>
      <c r="H133" s="3">
        <f t="shared" si="23"/>
        <v>46566</v>
      </c>
      <c r="I133" s="3">
        <f t="shared" si="24"/>
        <v>46572</v>
      </c>
      <c r="J133" s="1">
        <f t="shared" si="16"/>
        <v>4</v>
      </c>
      <c r="K133" s="1">
        <f t="shared" si="17"/>
        <v>3</v>
      </c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>
        <v>56</v>
      </c>
      <c r="W133" s="26">
        <v>56</v>
      </c>
    </row>
    <row r="134" spans="1:23" x14ac:dyDescent="0.3">
      <c r="A134" t="str">
        <f t="shared" si="21"/>
        <v>Jul-27</v>
      </c>
      <c r="B134" t="str">
        <f t="shared" si="22"/>
        <v>Jul-27|W2</v>
      </c>
      <c r="C134">
        <v>7</v>
      </c>
      <c r="D134" t="s">
        <v>107</v>
      </c>
      <c r="E134">
        <v>2027</v>
      </c>
      <c r="F134" t="s">
        <v>98</v>
      </c>
      <c r="G134" t="s">
        <v>135</v>
      </c>
      <c r="H134" s="3">
        <f t="shared" si="23"/>
        <v>46573</v>
      </c>
      <c r="I134" s="3">
        <f t="shared" si="24"/>
        <v>46579</v>
      </c>
      <c r="J134" s="1">
        <f t="shared" si="16"/>
        <v>7</v>
      </c>
      <c r="K134" s="1">
        <f t="shared" si="17"/>
        <v>0</v>
      </c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>
        <v>56</v>
      </c>
      <c r="W134" s="26">
        <v>56</v>
      </c>
    </row>
    <row r="135" spans="1:23" x14ac:dyDescent="0.3">
      <c r="A135" t="str">
        <f t="shared" si="21"/>
        <v>Jul-27</v>
      </c>
      <c r="B135" t="str">
        <f t="shared" si="22"/>
        <v>Jul-27|W3</v>
      </c>
      <c r="C135">
        <v>7</v>
      </c>
      <c r="D135" t="s">
        <v>107</v>
      </c>
      <c r="E135">
        <v>2027</v>
      </c>
      <c r="F135" t="s">
        <v>99</v>
      </c>
      <c r="G135" t="s">
        <v>136</v>
      </c>
      <c r="H135" s="3">
        <f t="shared" si="23"/>
        <v>46580</v>
      </c>
      <c r="I135" s="3">
        <f t="shared" si="24"/>
        <v>46586</v>
      </c>
      <c r="J135" s="1">
        <f t="shared" si="16"/>
        <v>7</v>
      </c>
      <c r="K135" s="1">
        <f t="shared" si="17"/>
        <v>0</v>
      </c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>
        <v>56</v>
      </c>
      <c r="W135" s="26">
        <v>56</v>
      </c>
    </row>
    <row r="136" spans="1:23" x14ac:dyDescent="0.3">
      <c r="A136" t="str">
        <f t="shared" si="21"/>
        <v>Jul-27</v>
      </c>
      <c r="B136" t="str">
        <f t="shared" si="22"/>
        <v>Jul-27|W4</v>
      </c>
      <c r="C136">
        <v>7</v>
      </c>
      <c r="D136" t="s">
        <v>107</v>
      </c>
      <c r="E136">
        <v>2027</v>
      </c>
      <c r="F136" t="s">
        <v>100</v>
      </c>
      <c r="G136" t="s">
        <v>137</v>
      </c>
      <c r="H136" s="3">
        <f t="shared" si="23"/>
        <v>46587</v>
      </c>
      <c r="I136" s="3">
        <f t="shared" si="24"/>
        <v>46593</v>
      </c>
      <c r="J136" s="1">
        <f t="shared" si="16"/>
        <v>7</v>
      </c>
      <c r="K136" s="1">
        <f t="shared" si="17"/>
        <v>0</v>
      </c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>
        <v>56</v>
      </c>
      <c r="W136" s="26">
        <v>56</v>
      </c>
    </row>
    <row r="137" spans="1:23" x14ac:dyDescent="0.3">
      <c r="A137" t="str">
        <f t="shared" si="21"/>
        <v>Aug-27</v>
      </c>
      <c r="B137" t="str">
        <f t="shared" si="22"/>
        <v>Aug-27|W1</v>
      </c>
      <c r="C137">
        <v>8</v>
      </c>
      <c r="D137" t="s">
        <v>108</v>
      </c>
      <c r="E137">
        <v>2027</v>
      </c>
      <c r="F137" t="s">
        <v>97</v>
      </c>
      <c r="G137" t="s">
        <v>138</v>
      </c>
      <c r="H137" s="3">
        <f t="shared" si="23"/>
        <v>46594</v>
      </c>
      <c r="I137" s="3">
        <f t="shared" si="24"/>
        <v>46600</v>
      </c>
      <c r="J137" s="1">
        <f t="shared" si="16"/>
        <v>1</v>
      </c>
      <c r="K137" s="1">
        <f t="shared" si="17"/>
        <v>6</v>
      </c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>
        <v>56</v>
      </c>
      <c r="W137" s="26">
        <v>56</v>
      </c>
    </row>
    <row r="138" spans="1:23" x14ac:dyDescent="0.3">
      <c r="A138" t="str">
        <f t="shared" si="21"/>
        <v>Aug-27</v>
      </c>
      <c r="B138" t="str">
        <f t="shared" si="22"/>
        <v>Aug-27|W2</v>
      </c>
      <c r="C138">
        <v>8</v>
      </c>
      <c r="D138" t="s">
        <v>108</v>
      </c>
      <c r="E138">
        <v>2027</v>
      </c>
      <c r="F138" t="s">
        <v>98</v>
      </c>
      <c r="G138" t="s">
        <v>139</v>
      </c>
      <c r="H138" s="3">
        <f t="shared" si="23"/>
        <v>46601</v>
      </c>
      <c r="I138" s="3">
        <f t="shared" si="24"/>
        <v>46607</v>
      </c>
      <c r="J138" s="1">
        <f t="shared" si="16"/>
        <v>7</v>
      </c>
      <c r="K138" s="1">
        <f t="shared" si="17"/>
        <v>0</v>
      </c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>
        <v>56</v>
      </c>
      <c r="W138" s="26">
        <v>56</v>
      </c>
    </row>
    <row r="139" spans="1:23" x14ac:dyDescent="0.3">
      <c r="A139" t="str">
        <f t="shared" si="21"/>
        <v>Aug-27</v>
      </c>
      <c r="B139" t="str">
        <f t="shared" si="22"/>
        <v>Aug-27|W3</v>
      </c>
      <c r="C139">
        <v>8</v>
      </c>
      <c r="D139" t="s">
        <v>108</v>
      </c>
      <c r="E139">
        <v>2027</v>
      </c>
      <c r="F139" t="s">
        <v>99</v>
      </c>
      <c r="G139" t="s">
        <v>140</v>
      </c>
      <c r="H139" s="3">
        <f t="shared" si="23"/>
        <v>46608</v>
      </c>
      <c r="I139" s="3">
        <f t="shared" si="24"/>
        <v>46614</v>
      </c>
      <c r="J139" s="1">
        <f t="shared" si="16"/>
        <v>7</v>
      </c>
      <c r="K139" s="1">
        <f t="shared" si="17"/>
        <v>0</v>
      </c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>
        <v>56</v>
      </c>
      <c r="W139" s="26">
        <v>56</v>
      </c>
    </row>
    <row r="140" spans="1:23" x14ac:dyDescent="0.3">
      <c r="A140" t="str">
        <f t="shared" si="21"/>
        <v>Aug-27</v>
      </c>
      <c r="B140" t="str">
        <f t="shared" si="22"/>
        <v>Aug-27|W4</v>
      </c>
      <c r="C140">
        <v>8</v>
      </c>
      <c r="D140" t="s">
        <v>108</v>
      </c>
      <c r="E140">
        <v>2027</v>
      </c>
      <c r="F140" t="s">
        <v>100</v>
      </c>
      <c r="G140" t="s">
        <v>141</v>
      </c>
      <c r="H140" s="3">
        <f t="shared" si="23"/>
        <v>46615</v>
      </c>
      <c r="I140" s="3">
        <f t="shared" si="24"/>
        <v>46621</v>
      </c>
      <c r="J140" s="1">
        <f t="shared" si="16"/>
        <v>7</v>
      </c>
      <c r="K140" s="1">
        <f t="shared" si="17"/>
        <v>0</v>
      </c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>
        <v>56</v>
      </c>
      <c r="W140" s="26">
        <v>56</v>
      </c>
    </row>
    <row r="141" spans="1:23" x14ac:dyDescent="0.3">
      <c r="A141" t="str">
        <f t="shared" si="21"/>
        <v>Sep-27</v>
      </c>
      <c r="B141" t="str">
        <f t="shared" si="22"/>
        <v>Sep-27|W1</v>
      </c>
      <c r="C141">
        <v>9</v>
      </c>
      <c r="D141" t="s">
        <v>109</v>
      </c>
      <c r="E141">
        <v>2027</v>
      </c>
      <c r="F141" t="s">
        <v>97</v>
      </c>
      <c r="G141" t="s">
        <v>142</v>
      </c>
      <c r="H141" s="3">
        <f t="shared" si="23"/>
        <v>46622</v>
      </c>
      <c r="I141" s="3">
        <f t="shared" si="24"/>
        <v>46628</v>
      </c>
      <c r="J141" s="1">
        <f t="shared" si="16"/>
        <v>0</v>
      </c>
      <c r="K141" s="1">
        <f t="shared" si="17"/>
        <v>7</v>
      </c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>
        <v>56</v>
      </c>
      <c r="W141" s="26">
        <v>56</v>
      </c>
    </row>
    <row r="142" spans="1:23" x14ac:dyDescent="0.3">
      <c r="A142" t="str">
        <f t="shared" si="21"/>
        <v>Sep-27</v>
      </c>
      <c r="B142" t="str">
        <f t="shared" si="22"/>
        <v>Sep-27|W2</v>
      </c>
      <c r="C142">
        <v>9</v>
      </c>
      <c r="D142" t="s">
        <v>109</v>
      </c>
      <c r="E142">
        <v>2027</v>
      </c>
      <c r="F142" t="s">
        <v>98</v>
      </c>
      <c r="G142" t="s">
        <v>143</v>
      </c>
      <c r="H142" s="3">
        <f t="shared" si="23"/>
        <v>46629</v>
      </c>
      <c r="I142" s="3">
        <f t="shared" si="24"/>
        <v>46635</v>
      </c>
      <c r="J142" s="1">
        <f t="shared" si="16"/>
        <v>5</v>
      </c>
      <c r="K142" s="1">
        <f t="shared" si="17"/>
        <v>2</v>
      </c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>
        <v>56</v>
      </c>
      <c r="W142" s="26">
        <v>56</v>
      </c>
    </row>
    <row r="143" spans="1:23" x14ac:dyDescent="0.3">
      <c r="A143" t="str">
        <f t="shared" si="21"/>
        <v>Sep-27</v>
      </c>
      <c r="B143" t="str">
        <f t="shared" si="22"/>
        <v>Sep-27|W3</v>
      </c>
      <c r="C143">
        <v>9</v>
      </c>
      <c r="D143" t="s">
        <v>109</v>
      </c>
      <c r="E143">
        <v>2027</v>
      </c>
      <c r="F143" t="s">
        <v>99</v>
      </c>
      <c r="G143" t="s">
        <v>144</v>
      </c>
      <c r="H143" s="3">
        <f t="shared" si="23"/>
        <v>46636</v>
      </c>
      <c r="I143" s="3">
        <f t="shared" si="24"/>
        <v>46642</v>
      </c>
      <c r="J143" s="1">
        <f t="shared" si="16"/>
        <v>7</v>
      </c>
      <c r="K143" s="1">
        <f t="shared" si="17"/>
        <v>0</v>
      </c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>
        <v>56</v>
      </c>
      <c r="W143" s="26">
        <v>56</v>
      </c>
    </row>
    <row r="144" spans="1:23" x14ac:dyDescent="0.3">
      <c r="A144" t="str">
        <f t="shared" si="21"/>
        <v>Sep-27</v>
      </c>
      <c r="B144" t="str">
        <f t="shared" si="22"/>
        <v>Sep-27|W4</v>
      </c>
      <c r="C144">
        <v>9</v>
      </c>
      <c r="D144" t="s">
        <v>109</v>
      </c>
      <c r="E144">
        <v>2027</v>
      </c>
      <c r="F144" t="s">
        <v>100</v>
      </c>
      <c r="G144" t="s">
        <v>145</v>
      </c>
      <c r="H144" s="3">
        <f t="shared" si="23"/>
        <v>46643</v>
      </c>
      <c r="I144" s="3">
        <f t="shared" si="24"/>
        <v>46649</v>
      </c>
      <c r="J144" s="1">
        <f t="shared" ref="J144:J207" si="25">IF(NOT(MONTH(H144)=MONTH(I144)),I144-DATE(E144,C144,1)+1,
    IF(MONTH(I144)=C144-1, 0,7))</f>
        <v>7</v>
      </c>
      <c r="K144" s="1">
        <f t="shared" si="17"/>
        <v>0</v>
      </c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>
        <v>56</v>
      </c>
      <c r="W144" s="26">
        <v>56</v>
      </c>
    </row>
    <row r="145" spans="1:23" x14ac:dyDescent="0.3">
      <c r="A145" t="str">
        <f t="shared" si="21"/>
        <v>Sep-27</v>
      </c>
      <c r="B145" t="str">
        <f t="shared" si="22"/>
        <v>Sep-27|W5</v>
      </c>
      <c r="C145">
        <v>9</v>
      </c>
      <c r="D145" t="s">
        <v>109</v>
      </c>
      <c r="E145">
        <v>2027</v>
      </c>
      <c r="F145" t="s">
        <v>103</v>
      </c>
      <c r="G145" t="s">
        <v>146</v>
      </c>
      <c r="H145" s="3">
        <f t="shared" si="23"/>
        <v>46650</v>
      </c>
      <c r="I145" s="3">
        <f t="shared" si="24"/>
        <v>46656</v>
      </c>
      <c r="J145" s="1">
        <f t="shared" si="25"/>
        <v>7</v>
      </c>
      <c r="K145" s="1">
        <f t="shared" ref="K145:K208" si="26">7-J145</f>
        <v>0</v>
      </c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>
        <v>56</v>
      </c>
      <c r="W145" s="26">
        <v>56</v>
      </c>
    </row>
    <row r="146" spans="1:23" x14ac:dyDescent="0.3">
      <c r="A146" t="str">
        <f t="shared" si="21"/>
        <v>Oct-27</v>
      </c>
      <c r="B146" t="str">
        <f t="shared" si="22"/>
        <v>Oct-27|W1</v>
      </c>
      <c r="C146">
        <v>10</v>
      </c>
      <c r="D146" t="s">
        <v>110</v>
      </c>
      <c r="E146">
        <v>2027</v>
      </c>
      <c r="F146" t="s">
        <v>97</v>
      </c>
      <c r="G146" t="s">
        <v>147</v>
      </c>
      <c r="H146" s="3">
        <f t="shared" si="23"/>
        <v>46657</v>
      </c>
      <c r="I146" s="3">
        <f t="shared" si="24"/>
        <v>46663</v>
      </c>
      <c r="J146" s="1">
        <f t="shared" si="25"/>
        <v>3</v>
      </c>
      <c r="K146" s="1">
        <f t="shared" si="26"/>
        <v>4</v>
      </c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>
        <v>56</v>
      </c>
      <c r="W146" s="26">
        <v>56</v>
      </c>
    </row>
    <row r="147" spans="1:23" x14ac:dyDescent="0.3">
      <c r="A147" t="str">
        <f t="shared" si="21"/>
        <v>Oct-27</v>
      </c>
      <c r="B147" t="str">
        <f t="shared" si="22"/>
        <v>Oct-27|W2</v>
      </c>
      <c r="C147">
        <v>10</v>
      </c>
      <c r="D147" t="s">
        <v>110</v>
      </c>
      <c r="E147">
        <v>2027</v>
      </c>
      <c r="F147" t="s">
        <v>98</v>
      </c>
      <c r="G147" t="s">
        <v>148</v>
      </c>
      <c r="H147" s="3">
        <f t="shared" si="23"/>
        <v>46664</v>
      </c>
      <c r="I147" s="3">
        <f t="shared" si="24"/>
        <v>46670</v>
      </c>
      <c r="J147" s="1">
        <f t="shared" si="25"/>
        <v>7</v>
      </c>
      <c r="K147" s="1">
        <f t="shared" si="26"/>
        <v>0</v>
      </c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>
        <v>56</v>
      </c>
      <c r="W147" s="26">
        <v>56</v>
      </c>
    </row>
    <row r="148" spans="1:23" x14ac:dyDescent="0.3">
      <c r="A148" t="str">
        <f t="shared" si="21"/>
        <v>Oct-27</v>
      </c>
      <c r="B148" t="str">
        <f t="shared" si="22"/>
        <v>Oct-27|W3</v>
      </c>
      <c r="C148">
        <v>10</v>
      </c>
      <c r="D148" t="s">
        <v>110</v>
      </c>
      <c r="E148">
        <v>2027</v>
      </c>
      <c r="F148" t="s">
        <v>99</v>
      </c>
      <c r="G148" t="s">
        <v>149</v>
      </c>
      <c r="H148" s="3">
        <f t="shared" si="23"/>
        <v>46671</v>
      </c>
      <c r="I148" s="3">
        <f t="shared" si="24"/>
        <v>46677</v>
      </c>
      <c r="J148" s="1">
        <f t="shared" si="25"/>
        <v>7</v>
      </c>
      <c r="K148" s="1">
        <f t="shared" si="26"/>
        <v>0</v>
      </c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>
        <v>56</v>
      </c>
      <c r="W148" s="26">
        <v>56</v>
      </c>
    </row>
    <row r="149" spans="1:23" x14ac:dyDescent="0.3">
      <c r="A149" t="str">
        <f t="shared" si="21"/>
        <v>Oct-27</v>
      </c>
      <c r="B149" t="str">
        <f t="shared" si="22"/>
        <v>Oct-27|W4</v>
      </c>
      <c r="C149">
        <v>10</v>
      </c>
      <c r="D149" t="s">
        <v>110</v>
      </c>
      <c r="E149">
        <v>2027</v>
      </c>
      <c r="F149" t="s">
        <v>100</v>
      </c>
      <c r="G149" t="s">
        <v>150</v>
      </c>
      <c r="H149" s="3">
        <f t="shared" si="23"/>
        <v>46678</v>
      </c>
      <c r="I149" s="3">
        <f t="shared" si="24"/>
        <v>46684</v>
      </c>
      <c r="J149" s="1">
        <f t="shared" si="25"/>
        <v>7</v>
      </c>
      <c r="K149" s="1">
        <f t="shared" si="26"/>
        <v>0</v>
      </c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>
        <v>56</v>
      </c>
      <c r="W149" s="26">
        <v>56</v>
      </c>
    </row>
    <row r="150" spans="1:23" x14ac:dyDescent="0.3">
      <c r="A150" t="str">
        <f t="shared" si="21"/>
        <v>Nov-27</v>
      </c>
      <c r="B150" t="str">
        <f t="shared" si="22"/>
        <v>Nov-27|W1</v>
      </c>
      <c r="C150">
        <v>11</v>
      </c>
      <c r="D150" t="s">
        <v>111</v>
      </c>
      <c r="E150">
        <v>2027</v>
      </c>
      <c r="F150" t="s">
        <v>97</v>
      </c>
      <c r="G150" t="s">
        <v>151</v>
      </c>
      <c r="H150" s="3">
        <f t="shared" si="23"/>
        <v>46685</v>
      </c>
      <c r="I150" s="3">
        <f t="shared" si="24"/>
        <v>46691</v>
      </c>
      <c r="J150" s="1">
        <f t="shared" si="25"/>
        <v>0</v>
      </c>
      <c r="K150" s="1">
        <f t="shared" si="26"/>
        <v>7</v>
      </c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>
        <v>56</v>
      </c>
      <c r="W150" s="26">
        <v>56</v>
      </c>
    </row>
    <row r="151" spans="1:23" x14ac:dyDescent="0.3">
      <c r="A151" t="str">
        <f t="shared" si="21"/>
        <v>Nov-27</v>
      </c>
      <c r="B151" t="str">
        <f t="shared" si="22"/>
        <v>Nov-27|W2</v>
      </c>
      <c r="C151">
        <v>11</v>
      </c>
      <c r="D151" t="s">
        <v>111</v>
      </c>
      <c r="E151">
        <v>2027</v>
      </c>
      <c r="F151" t="s">
        <v>98</v>
      </c>
      <c r="G151" t="s">
        <v>152</v>
      </c>
      <c r="H151" s="3">
        <f t="shared" si="23"/>
        <v>46692</v>
      </c>
      <c r="I151" s="3">
        <f t="shared" si="24"/>
        <v>46698</v>
      </c>
      <c r="J151" s="1">
        <f t="shared" si="25"/>
        <v>7</v>
      </c>
      <c r="K151" s="1">
        <f t="shared" si="26"/>
        <v>0</v>
      </c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>
        <v>56</v>
      </c>
      <c r="W151" s="26">
        <v>56</v>
      </c>
    </row>
    <row r="152" spans="1:23" x14ac:dyDescent="0.3">
      <c r="A152" t="str">
        <f t="shared" si="21"/>
        <v>Nov-27</v>
      </c>
      <c r="B152" t="str">
        <f t="shared" si="22"/>
        <v>Nov-27|W3</v>
      </c>
      <c r="C152">
        <v>11</v>
      </c>
      <c r="D152" t="s">
        <v>111</v>
      </c>
      <c r="E152">
        <v>2027</v>
      </c>
      <c r="F152" t="s">
        <v>99</v>
      </c>
      <c r="G152" t="s">
        <v>153</v>
      </c>
      <c r="H152" s="3">
        <f t="shared" si="23"/>
        <v>46699</v>
      </c>
      <c r="I152" s="3">
        <f t="shared" si="24"/>
        <v>46705</v>
      </c>
      <c r="J152" s="1">
        <f t="shared" si="25"/>
        <v>7</v>
      </c>
      <c r="K152" s="1">
        <f t="shared" si="26"/>
        <v>0</v>
      </c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>
        <v>56</v>
      </c>
      <c r="W152" s="26">
        <v>56</v>
      </c>
    </row>
    <row r="153" spans="1:23" x14ac:dyDescent="0.3">
      <c r="A153" t="str">
        <f t="shared" si="21"/>
        <v>Nov-27</v>
      </c>
      <c r="B153" t="str">
        <f t="shared" si="22"/>
        <v>Nov-27|W4</v>
      </c>
      <c r="C153">
        <v>11</v>
      </c>
      <c r="D153" t="s">
        <v>111</v>
      </c>
      <c r="E153">
        <v>2027</v>
      </c>
      <c r="F153" t="s">
        <v>100</v>
      </c>
      <c r="G153" t="s">
        <v>154</v>
      </c>
      <c r="H153" s="3">
        <f t="shared" si="23"/>
        <v>46706</v>
      </c>
      <c r="I153" s="3">
        <f t="shared" si="24"/>
        <v>46712</v>
      </c>
      <c r="J153" s="1">
        <f t="shared" si="25"/>
        <v>7</v>
      </c>
      <c r="K153" s="1">
        <f t="shared" si="26"/>
        <v>0</v>
      </c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>
        <v>56</v>
      </c>
      <c r="W153" s="26">
        <v>56</v>
      </c>
    </row>
    <row r="154" spans="1:23" x14ac:dyDescent="0.3">
      <c r="A154" t="str">
        <f t="shared" si="21"/>
        <v>Dec-27</v>
      </c>
      <c r="B154" t="str">
        <f t="shared" si="22"/>
        <v>Dec-27|W1</v>
      </c>
      <c r="C154">
        <v>12</v>
      </c>
      <c r="D154" t="s">
        <v>112</v>
      </c>
      <c r="E154">
        <v>2027</v>
      </c>
      <c r="F154" t="s">
        <v>97</v>
      </c>
      <c r="G154" t="s">
        <v>155</v>
      </c>
      <c r="H154" s="3">
        <f t="shared" si="23"/>
        <v>46713</v>
      </c>
      <c r="I154" s="3">
        <f t="shared" si="24"/>
        <v>46719</v>
      </c>
      <c r="J154" s="1">
        <f t="shared" si="25"/>
        <v>0</v>
      </c>
      <c r="K154" s="1">
        <f t="shared" si="26"/>
        <v>7</v>
      </c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>
        <v>56</v>
      </c>
      <c r="W154" s="26">
        <v>56</v>
      </c>
    </row>
    <row r="155" spans="1:23" x14ac:dyDescent="0.3">
      <c r="A155" t="str">
        <f t="shared" si="21"/>
        <v>Dec-27</v>
      </c>
      <c r="B155" t="str">
        <f t="shared" si="22"/>
        <v>Dec-27|W2</v>
      </c>
      <c r="C155">
        <v>12</v>
      </c>
      <c r="D155" t="s">
        <v>112</v>
      </c>
      <c r="E155">
        <v>2027</v>
      </c>
      <c r="F155" t="s">
        <v>98</v>
      </c>
      <c r="G155" t="s">
        <v>156</v>
      </c>
      <c r="H155" s="3">
        <f t="shared" si="23"/>
        <v>46720</v>
      </c>
      <c r="I155" s="3">
        <f t="shared" si="24"/>
        <v>46726</v>
      </c>
      <c r="J155" s="1">
        <f t="shared" si="25"/>
        <v>5</v>
      </c>
      <c r="K155" s="1">
        <f t="shared" si="26"/>
        <v>2</v>
      </c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>
        <v>56</v>
      </c>
      <c r="W155" s="26">
        <v>56</v>
      </c>
    </row>
    <row r="156" spans="1:23" x14ac:dyDescent="0.3">
      <c r="A156" t="str">
        <f t="shared" si="21"/>
        <v>Dec-27</v>
      </c>
      <c r="B156" t="str">
        <f t="shared" si="22"/>
        <v>Dec-27|W3</v>
      </c>
      <c r="C156">
        <v>12</v>
      </c>
      <c r="D156" t="s">
        <v>112</v>
      </c>
      <c r="E156">
        <v>2027</v>
      </c>
      <c r="F156" t="s">
        <v>99</v>
      </c>
      <c r="G156" t="s">
        <v>157</v>
      </c>
      <c r="H156" s="3">
        <f t="shared" si="23"/>
        <v>46727</v>
      </c>
      <c r="I156" s="3">
        <f t="shared" si="24"/>
        <v>46733</v>
      </c>
      <c r="J156" s="1">
        <f t="shared" si="25"/>
        <v>7</v>
      </c>
      <c r="K156" s="1">
        <f t="shared" si="26"/>
        <v>0</v>
      </c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>
        <v>56</v>
      </c>
      <c r="W156" s="26">
        <v>56</v>
      </c>
    </row>
    <row r="157" spans="1:23" x14ac:dyDescent="0.3">
      <c r="A157" t="str">
        <f t="shared" si="21"/>
        <v>Dec-27</v>
      </c>
      <c r="B157" t="str">
        <f t="shared" si="22"/>
        <v>Dec-27|W4</v>
      </c>
      <c r="C157">
        <v>12</v>
      </c>
      <c r="D157" t="s">
        <v>112</v>
      </c>
      <c r="E157">
        <v>2027</v>
      </c>
      <c r="F157" t="s">
        <v>100</v>
      </c>
      <c r="G157" t="s">
        <v>158</v>
      </c>
      <c r="H157" s="3">
        <f t="shared" si="23"/>
        <v>46734</v>
      </c>
      <c r="I157" s="3">
        <f t="shared" si="24"/>
        <v>46740</v>
      </c>
      <c r="J157" s="1">
        <f t="shared" si="25"/>
        <v>7</v>
      </c>
      <c r="K157" s="1">
        <f t="shared" si="26"/>
        <v>0</v>
      </c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>
        <v>56</v>
      </c>
      <c r="W157" s="26">
        <v>56</v>
      </c>
    </row>
    <row r="158" spans="1:23" x14ac:dyDescent="0.3">
      <c r="A158" t="str">
        <f t="shared" si="21"/>
        <v>Dec-27</v>
      </c>
      <c r="B158" t="str">
        <f t="shared" si="22"/>
        <v>Dec-27|W5</v>
      </c>
      <c r="C158">
        <v>12</v>
      </c>
      <c r="D158" t="s">
        <v>112</v>
      </c>
      <c r="E158">
        <v>2027</v>
      </c>
      <c r="F158" t="s">
        <v>103</v>
      </c>
      <c r="G158" t="s">
        <v>159</v>
      </c>
      <c r="H158" s="3">
        <f t="shared" si="23"/>
        <v>46741</v>
      </c>
      <c r="I158" s="3">
        <f t="shared" si="24"/>
        <v>46747</v>
      </c>
      <c r="J158" s="1">
        <f t="shared" si="25"/>
        <v>7</v>
      </c>
      <c r="K158" s="1">
        <f t="shared" si="26"/>
        <v>0</v>
      </c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>
        <v>56</v>
      </c>
      <c r="W158" s="26">
        <v>56</v>
      </c>
    </row>
    <row r="159" spans="1:23" x14ac:dyDescent="0.3">
      <c r="A159" t="str">
        <f t="shared" ref="A159:A210" si="27">D159&amp;"-"&amp;RIGHT(E159,2)</f>
        <v>Jan-28</v>
      </c>
      <c r="B159" t="str">
        <f t="shared" ref="B159:B210" si="28">A159&amp;"|"&amp;F159</f>
        <v>Jan-28|W1</v>
      </c>
      <c r="C159">
        <v>1</v>
      </c>
      <c r="D159" t="s">
        <v>96</v>
      </c>
      <c r="E159">
        <v>2028</v>
      </c>
      <c r="F159" t="s">
        <v>97</v>
      </c>
      <c r="G159" s="2" t="s">
        <v>97</v>
      </c>
      <c r="H159" s="3">
        <f t="shared" ref="H159:H210" si="29">I158+1</f>
        <v>46748</v>
      </c>
      <c r="I159" s="3">
        <f t="shared" ref="I159:I210" si="30">H159+6</f>
        <v>46754</v>
      </c>
      <c r="J159" s="1">
        <f t="shared" si="25"/>
        <v>2</v>
      </c>
      <c r="K159" s="1">
        <f t="shared" si="26"/>
        <v>5</v>
      </c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>
        <v>56</v>
      </c>
      <c r="W159" s="26">
        <v>56</v>
      </c>
    </row>
    <row r="160" spans="1:23" x14ac:dyDescent="0.3">
      <c r="A160" t="str">
        <f t="shared" si="27"/>
        <v>Jan-28</v>
      </c>
      <c r="B160" t="str">
        <f t="shared" si="28"/>
        <v>Jan-28|W2</v>
      </c>
      <c r="C160">
        <v>1</v>
      </c>
      <c r="D160" t="s">
        <v>96</v>
      </c>
      <c r="E160">
        <v>2028</v>
      </c>
      <c r="F160" t="s">
        <v>98</v>
      </c>
      <c r="G160" t="s">
        <v>98</v>
      </c>
      <c r="H160" s="3">
        <f t="shared" si="29"/>
        <v>46755</v>
      </c>
      <c r="I160" s="3">
        <f t="shared" si="30"/>
        <v>46761</v>
      </c>
      <c r="J160" s="1">
        <f t="shared" si="25"/>
        <v>7</v>
      </c>
      <c r="K160" s="1">
        <f t="shared" si="26"/>
        <v>0</v>
      </c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>
        <v>56</v>
      </c>
      <c r="W160" s="26">
        <v>56</v>
      </c>
    </row>
    <row r="161" spans="1:23" x14ac:dyDescent="0.3">
      <c r="A161" t="str">
        <f t="shared" si="27"/>
        <v>Jan-28</v>
      </c>
      <c r="B161" t="str">
        <f t="shared" si="28"/>
        <v>Jan-28|W3</v>
      </c>
      <c r="C161">
        <v>1</v>
      </c>
      <c r="D161" t="s">
        <v>96</v>
      </c>
      <c r="E161">
        <v>2028</v>
      </c>
      <c r="F161" t="s">
        <v>99</v>
      </c>
      <c r="G161" t="s">
        <v>99</v>
      </c>
      <c r="H161" s="3">
        <f t="shared" si="29"/>
        <v>46762</v>
      </c>
      <c r="I161" s="3">
        <f t="shared" si="30"/>
        <v>46768</v>
      </c>
      <c r="J161" s="1">
        <f t="shared" si="25"/>
        <v>7</v>
      </c>
      <c r="K161" s="1">
        <f t="shared" si="26"/>
        <v>0</v>
      </c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>
        <v>56</v>
      </c>
      <c r="W161" s="26">
        <v>56</v>
      </c>
    </row>
    <row r="162" spans="1:23" x14ac:dyDescent="0.3">
      <c r="A162" t="str">
        <f t="shared" si="27"/>
        <v>Jan-28</v>
      </c>
      <c r="B162" t="str">
        <f t="shared" si="28"/>
        <v>Jan-28|W4</v>
      </c>
      <c r="C162">
        <v>1</v>
      </c>
      <c r="D162" t="s">
        <v>96</v>
      </c>
      <c r="E162">
        <v>2028</v>
      </c>
      <c r="F162" t="s">
        <v>100</v>
      </c>
      <c r="G162" t="s">
        <v>100</v>
      </c>
      <c r="H162" s="3">
        <f t="shared" si="29"/>
        <v>46769</v>
      </c>
      <c r="I162" s="3">
        <f t="shared" si="30"/>
        <v>46775</v>
      </c>
      <c r="J162" s="1">
        <f t="shared" si="25"/>
        <v>7</v>
      </c>
      <c r="K162" s="1">
        <f t="shared" si="26"/>
        <v>0</v>
      </c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>
        <v>56</v>
      </c>
      <c r="W162" s="26">
        <v>56</v>
      </c>
    </row>
    <row r="163" spans="1:23" x14ac:dyDescent="0.3">
      <c r="A163" t="str">
        <f t="shared" si="27"/>
        <v>Feb-28</v>
      </c>
      <c r="B163" t="str">
        <f t="shared" si="28"/>
        <v>Feb-28|W1</v>
      </c>
      <c r="C163">
        <v>2</v>
      </c>
      <c r="D163" t="s">
        <v>101</v>
      </c>
      <c r="E163">
        <v>2028</v>
      </c>
      <c r="F163" t="s">
        <v>97</v>
      </c>
      <c r="G163" t="s">
        <v>103</v>
      </c>
      <c r="H163" s="3">
        <f t="shared" si="29"/>
        <v>46776</v>
      </c>
      <c r="I163" s="3">
        <f t="shared" si="30"/>
        <v>46782</v>
      </c>
      <c r="J163" s="1">
        <f t="shared" si="25"/>
        <v>0</v>
      </c>
      <c r="K163" s="1">
        <f t="shared" si="26"/>
        <v>7</v>
      </c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>
        <v>56</v>
      </c>
      <c r="W163" s="26">
        <v>56</v>
      </c>
    </row>
    <row r="164" spans="1:23" x14ac:dyDescent="0.3">
      <c r="A164" t="str">
        <f t="shared" si="27"/>
        <v>Feb-28</v>
      </c>
      <c r="B164" t="str">
        <f t="shared" si="28"/>
        <v>Feb-28|W2</v>
      </c>
      <c r="C164">
        <v>2</v>
      </c>
      <c r="D164" t="s">
        <v>101</v>
      </c>
      <c r="E164">
        <v>2028</v>
      </c>
      <c r="F164" t="s">
        <v>98</v>
      </c>
      <c r="G164" t="s">
        <v>113</v>
      </c>
      <c r="H164" s="3">
        <f t="shared" si="29"/>
        <v>46783</v>
      </c>
      <c r="I164" s="3">
        <f t="shared" si="30"/>
        <v>46789</v>
      </c>
      <c r="J164" s="1">
        <f t="shared" si="25"/>
        <v>6</v>
      </c>
      <c r="K164" s="1">
        <f t="shared" si="26"/>
        <v>1</v>
      </c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>
        <v>56</v>
      </c>
      <c r="W164" s="26">
        <v>56</v>
      </c>
    </row>
    <row r="165" spans="1:23" x14ac:dyDescent="0.3">
      <c r="A165" t="str">
        <f t="shared" si="27"/>
        <v>Feb-28</v>
      </c>
      <c r="B165" t="str">
        <f t="shared" si="28"/>
        <v>Feb-28|W3</v>
      </c>
      <c r="C165">
        <v>2</v>
      </c>
      <c r="D165" t="s">
        <v>101</v>
      </c>
      <c r="E165">
        <v>2028</v>
      </c>
      <c r="F165" t="s">
        <v>99</v>
      </c>
      <c r="G165" t="s">
        <v>114</v>
      </c>
      <c r="H165" s="3">
        <f t="shared" si="29"/>
        <v>46790</v>
      </c>
      <c r="I165" s="3">
        <f t="shared" si="30"/>
        <v>46796</v>
      </c>
      <c r="J165" s="1">
        <f t="shared" si="25"/>
        <v>7</v>
      </c>
      <c r="K165" s="1">
        <f t="shared" si="26"/>
        <v>0</v>
      </c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>
        <v>56</v>
      </c>
      <c r="W165" s="26">
        <v>56</v>
      </c>
    </row>
    <row r="166" spans="1:23" x14ac:dyDescent="0.3">
      <c r="A166" t="str">
        <f t="shared" si="27"/>
        <v>Feb-28</v>
      </c>
      <c r="B166" t="str">
        <f t="shared" si="28"/>
        <v>Feb-28|W4</v>
      </c>
      <c r="C166">
        <v>2</v>
      </c>
      <c r="D166" t="s">
        <v>101</v>
      </c>
      <c r="E166">
        <v>2028</v>
      </c>
      <c r="F166" t="s">
        <v>100</v>
      </c>
      <c r="G166" t="s">
        <v>115</v>
      </c>
      <c r="H166" s="3">
        <f t="shared" si="29"/>
        <v>46797</v>
      </c>
      <c r="I166" s="3">
        <f t="shared" si="30"/>
        <v>46803</v>
      </c>
      <c r="J166" s="1">
        <f t="shared" si="25"/>
        <v>7</v>
      </c>
      <c r="K166" s="1">
        <f t="shared" si="26"/>
        <v>0</v>
      </c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>
        <v>56</v>
      </c>
      <c r="W166" s="26">
        <v>56</v>
      </c>
    </row>
    <row r="167" spans="1:23" x14ac:dyDescent="0.3">
      <c r="A167" t="str">
        <f t="shared" si="27"/>
        <v>Mar-28</v>
      </c>
      <c r="B167" t="str">
        <f t="shared" si="28"/>
        <v>Mar-28|W1</v>
      </c>
      <c r="C167">
        <v>3</v>
      </c>
      <c r="D167" t="s">
        <v>102</v>
      </c>
      <c r="E167">
        <v>2028</v>
      </c>
      <c r="F167" t="s">
        <v>97</v>
      </c>
      <c r="G167" t="s">
        <v>116</v>
      </c>
      <c r="H167" s="3">
        <f t="shared" si="29"/>
        <v>46804</v>
      </c>
      <c r="I167" s="3">
        <f t="shared" si="30"/>
        <v>46810</v>
      </c>
      <c r="J167" s="1">
        <f t="shared" si="25"/>
        <v>0</v>
      </c>
      <c r="K167" s="1">
        <f t="shared" si="26"/>
        <v>7</v>
      </c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>
        <v>56</v>
      </c>
      <c r="W167" s="26">
        <v>56</v>
      </c>
    </row>
    <row r="168" spans="1:23" x14ac:dyDescent="0.3">
      <c r="A168" t="str">
        <f t="shared" si="27"/>
        <v>Mar-28</v>
      </c>
      <c r="B168" t="str">
        <f t="shared" si="28"/>
        <v>Mar-28|W2</v>
      </c>
      <c r="C168">
        <v>3</v>
      </c>
      <c r="D168" t="s">
        <v>102</v>
      </c>
      <c r="E168">
        <v>2028</v>
      </c>
      <c r="F168" t="s">
        <v>98</v>
      </c>
      <c r="G168" t="s">
        <v>117</v>
      </c>
      <c r="H168" s="3">
        <f t="shared" si="29"/>
        <v>46811</v>
      </c>
      <c r="I168" s="3">
        <f t="shared" si="30"/>
        <v>46817</v>
      </c>
      <c r="J168" s="1">
        <f t="shared" si="25"/>
        <v>5</v>
      </c>
      <c r="K168" s="1">
        <f t="shared" si="26"/>
        <v>2</v>
      </c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>
        <v>56</v>
      </c>
      <c r="W168" s="26">
        <v>56</v>
      </c>
    </row>
    <row r="169" spans="1:23" x14ac:dyDescent="0.3">
      <c r="A169" t="str">
        <f t="shared" si="27"/>
        <v>Mar-28</v>
      </c>
      <c r="B169" t="str">
        <f t="shared" si="28"/>
        <v>Mar-28|W3</v>
      </c>
      <c r="C169">
        <v>3</v>
      </c>
      <c r="D169" t="s">
        <v>102</v>
      </c>
      <c r="E169">
        <v>2028</v>
      </c>
      <c r="F169" t="s">
        <v>99</v>
      </c>
      <c r="G169" t="s">
        <v>118</v>
      </c>
      <c r="H169" s="3">
        <f t="shared" si="29"/>
        <v>46818</v>
      </c>
      <c r="I169" s="3">
        <f t="shared" si="30"/>
        <v>46824</v>
      </c>
      <c r="J169" s="1">
        <f t="shared" si="25"/>
        <v>7</v>
      </c>
      <c r="K169" s="1">
        <f t="shared" si="26"/>
        <v>0</v>
      </c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>
        <v>56</v>
      </c>
      <c r="W169" s="26">
        <v>56</v>
      </c>
    </row>
    <row r="170" spans="1:23" x14ac:dyDescent="0.3">
      <c r="A170" t="str">
        <f t="shared" si="27"/>
        <v>Mar-28</v>
      </c>
      <c r="B170" t="str">
        <f t="shared" si="28"/>
        <v>Mar-28|W4</v>
      </c>
      <c r="C170">
        <v>3</v>
      </c>
      <c r="D170" t="s">
        <v>102</v>
      </c>
      <c r="E170">
        <v>2028</v>
      </c>
      <c r="F170" t="s">
        <v>100</v>
      </c>
      <c r="G170" t="s">
        <v>119</v>
      </c>
      <c r="H170" s="3">
        <f t="shared" si="29"/>
        <v>46825</v>
      </c>
      <c r="I170" s="3">
        <f t="shared" si="30"/>
        <v>46831</v>
      </c>
      <c r="J170" s="1">
        <f t="shared" si="25"/>
        <v>7</v>
      </c>
      <c r="K170" s="1">
        <f t="shared" si="26"/>
        <v>0</v>
      </c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>
        <v>56</v>
      </c>
      <c r="W170" s="26">
        <v>56</v>
      </c>
    </row>
    <row r="171" spans="1:23" x14ac:dyDescent="0.3">
      <c r="A171" t="str">
        <f t="shared" si="27"/>
        <v>Mar-28</v>
      </c>
      <c r="B171" t="str">
        <f t="shared" si="28"/>
        <v>Mar-28|W5</v>
      </c>
      <c r="C171">
        <v>3</v>
      </c>
      <c r="D171" t="s">
        <v>102</v>
      </c>
      <c r="E171">
        <v>2028</v>
      </c>
      <c r="F171" t="s">
        <v>103</v>
      </c>
      <c r="G171" t="s">
        <v>120</v>
      </c>
      <c r="H171" s="3">
        <f t="shared" si="29"/>
        <v>46832</v>
      </c>
      <c r="I171" s="3">
        <f t="shared" si="30"/>
        <v>46838</v>
      </c>
      <c r="J171" s="1">
        <f t="shared" si="25"/>
        <v>7</v>
      </c>
      <c r="K171" s="1">
        <f t="shared" si="26"/>
        <v>0</v>
      </c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>
        <v>56</v>
      </c>
      <c r="W171" s="26">
        <v>56</v>
      </c>
    </row>
    <row r="172" spans="1:23" x14ac:dyDescent="0.3">
      <c r="A172" t="str">
        <f t="shared" si="27"/>
        <v>Apr-28</v>
      </c>
      <c r="B172" t="str">
        <f t="shared" si="28"/>
        <v>Apr-28|W1</v>
      </c>
      <c r="C172">
        <v>4</v>
      </c>
      <c r="D172" t="s">
        <v>104</v>
      </c>
      <c r="E172">
        <v>2028</v>
      </c>
      <c r="F172" t="s">
        <v>97</v>
      </c>
      <c r="G172" t="s">
        <v>121</v>
      </c>
      <c r="H172" s="3">
        <f t="shared" si="29"/>
        <v>46839</v>
      </c>
      <c r="I172" s="3">
        <f t="shared" si="30"/>
        <v>46845</v>
      </c>
      <c r="J172" s="1">
        <f t="shared" si="25"/>
        <v>2</v>
      </c>
      <c r="K172" s="1">
        <f t="shared" si="26"/>
        <v>5</v>
      </c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>
        <v>56</v>
      </c>
      <c r="W172" s="26">
        <v>56</v>
      </c>
    </row>
    <row r="173" spans="1:23" x14ac:dyDescent="0.3">
      <c r="A173" t="str">
        <f t="shared" si="27"/>
        <v>Apr-28</v>
      </c>
      <c r="B173" t="str">
        <f t="shared" si="28"/>
        <v>Apr-28|W2</v>
      </c>
      <c r="C173">
        <v>4</v>
      </c>
      <c r="D173" t="s">
        <v>104</v>
      </c>
      <c r="E173">
        <v>2028</v>
      </c>
      <c r="F173" t="s">
        <v>98</v>
      </c>
      <c r="G173" t="s">
        <v>122</v>
      </c>
      <c r="H173" s="3">
        <f t="shared" si="29"/>
        <v>46846</v>
      </c>
      <c r="I173" s="3">
        <f t="shared" si="30"/>
        <v>46852</v>
      </c>
      <c r="J173" s="1">
        <f t="shared" si="25"/>
        <v>7</v>
      </c>
      <c r="K173" s="1">
        <f t="shared" si="26"/>
        <v>0</v>
      </c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>
        <v>56</v>
      </c>
      <c r="W173" s="26">
        <v>56</v>
      </c>
    </row>
    <row r="174" spans="1:23" x14ac:dyDescent="0.3">
      <c r="A174" t="str">
        <f t="shared" si="27"/>
        <v>Apr-28</v>
      </c>
      <c r="B174" t="str">
        <f t="shared" si="28"/>
        <v>Apr-28|W3</v>
      </c>
      <c r="C174">
        <v>4</v>
      </c>
      <c r="D174" t="s">
        <v>104</v>
      </c>
      <c r="E174">
        <v>2028</v>
      </c>
      <c r="F174" t="s">
        <v>99</v>
      </c>
      <c r="G174" t="s">
        <v>123</v>
      </c>
      <c r="H174" s="3">
        <f t="shared" si="29"/>
        <v>46853</v>
      </c>
      <c r="I174" s="3">
        <f t="shared" si="30"/>
        <v>46859</v>
      </c>
      <c r="J174" s="1">
        <f t="shared" si="25"/>
        <v>7</v>
      </c>
      <c r="K174" s="1">
        <f t="shared" si="26"/>
        <v>0</v>
      </c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>
        <v>56</v>
      </c>
      <c r="W174" s="26">
        <v>56</v>
      </c>
    </row>
    <row r="175" spans="1:23" x14ac:dyDescent="0.3">
      <c r="A175" t="str">
        <f t="shared" si="27"/>
        <v>Apr-28</v>
      </c>
      <c r="B175" t="str">
        <f t="shared" si="28"/>
        <v>Apr-28|W4</v>
      </c>
      <c r="C175">
        <v>4</v>
      </c>
      <c r="D175" t="s">
        <v>104</v>
      </c>
      <c r="E175">
        <v>2028</v>
      </c>
      <c r="F175" t="s">
        <v>100</v>
      </c>
      <c r="G175" t="s">
        <v>124</v>
      </c>
      <c r="H175" s="3">
        <f t="shared" si="29"/>
        <v>46860</v>
      </c>
      <c r="I175" s="3">
        <f t="shared" si="30"/>
        <v>46866</v>
      </c>
      <c r="J175" s="1">
        <f t="shared" si="25"/>
        <v>7</v>
      </c>
      <c r="K175" s="1">
        <f t="shared" si="26"/>
        <v>0</v>
      </c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>
        <v>56</v>
      </c>
      <c r="W175" s="26">
        <v>56</v>
      </c>
    </row>
    <row r="176" spans="1:23" x14ac:dyDescent="0.3">
      <c r="A176" t="str">
        <f t="shared" si="27"/>
        <v>May-28</v>
      </c>
      <c r="B176" t="str">
        <f t="shared" si="28"/>
        <v>May-28|W1</v>
      </c>
      <c r="C176">
        <v>5</v>
      </c>
      <c r="D176" t="s">
        <v>105</v>
      </c>
      <c r="E176">
        <v>2028</v>
      </c>
      <c r="F176" t="s">
        <v>97</v>
      </c>
      <c r="G176" t="s">
        <v>125</v>
      </c>
      <c r="H176" s="3">
        <f t="shared" si="29"/>
        <v>46867</v>
      </c>
      <c r="I176" s="3">
        <f t="shared" si="30"/>
        <v>46873</v>
      </c>
      <c r="J176" s="1">
        <f t="shared" si="25"/>
        <v>0</v>
      </c>
      <c r="K176" s="1">
        <f t="shared" si="26"/>
        <v>7</v>
      </c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>
        <v>56</v>
      </c>
      <c r="W176" s="26">
        <v>56</v>
      </c>
    </row>
    <row r="177" spans="1:23" x14ac:dyDescent="0.3">
      <c r="A177" t="str">
        <f t="shared" si="27"/>
        <v>May-28</v>
      </c>
      <c r="B177" t="str">
        <f t="shared" si="28"/>
        <v>May-28|W2</v>
      </c>
      <c r="C177">
        <v>5</v>
      </c>
      <c r="D177" t="s">
        <v>105</v>
      </c>
      <c r="E177">
        <v>2028</v>
      </c>
      <c r="F177" t="s">
        <v>98</v>
      </c>
      <c r="G177" t="s">
        <v>126</v>
      </c>
      <c r="H177" s="3">
        <f t="shared" si="29"/>
        <v>46874</v>
      </c>
      <c r="I177" s="3">
        <f t="shared" si="30"/>
        <v>46880</v>
      </c>
      <c r="J177" s="1">
        <f t="shared" si="25"/>
        <v>7</v>
      </c>
      <c r="K177" s="1">
        <f t="shared" si="26"/>
        <v>0</v>
      </c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>
        <v>56</v>
      </c>
      <c r="W177" s="26">
        <v>56</v>
      </c>
    </row>
    <row r="178" spans="1:23" x14ac:dyDescent="0.3">
      <c r="A178" t="str">
        <f t="shared" si="27"/>
        <v>May-28</v>
      </c>
      <c r="B178" t="str">
        <f t="shared" si="28"/>
        <v>May-28|W3</v>
      </c>
      <c r="C178">
        <v>5</v>
      </c>
      <c r="D178" t="s">
        <v>105</v>
      </c>
      <c r="E178">
        <v>2028</v>
      </c>
      <c r="F178" t="s">
        <v>99</v>
      </c>
      <c r="G178" t="s">
        <v>127</v>
      </c>
      <c r="H178" s="3">
        <f t="shared" si="29"/>
        <v>46881</v>
      </c>
      <c r="I178" s="3">
        <f t="shared" si="30"/>
        <v>46887</v>
      </c>
      <c r="J178" s="1">
        <f t="shared" si="25"/>
        <v>7</v>
      </c>
      <c r="K178" s="1">
        <f t="shared" si="26"/>
        <v>0</v>
      </c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>
        <v>56</v>
      </c>
      <c r="W178" s="26">
        <v>56</v>
      </c>
    </row>
    <row r="179" spans="1:23" x14ac:dyDescent="0.3">
      <c r="A179" t="str">
        <f t="shared" si="27"/>
        <v>May-28</v>
      </c>
      <c r="B179" t="str">
        <f t="shared" si="28"/>
        <v>May-28|W4</v>
      </c>
      <c r="C179">
        <v>5</v>
      </c>
      <c r="D179" t="s">
        <v>105</v>
      </c>
      <c r="E179">
        <v>2028</v>
      </c>
      <c r="F179" t="s">
        <v>100</v>
      </c>
      <c r="G179" t="s">
        <v>128</v>
      </c>
      <c r="H179" s="3">
        <f t="shared" si="29"/>
        <v>46888</v>
      </c>
      <c r="I179" s="3">
        <f t="shared" si="30"/>
        <v>46894</v>
      </c>
      <c r="J179" s="1">
        <f t="shared" si="25"/>
        <v>7</v>
      </c>
      <c r="K179" s="1">
        <f t="shared" si="26"/>
        <v>0</v>
      </c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>
        <v>56</v>
      </c>
      <c r="W179" s="26">
        <v>56</v>
      </c>
    </row>
    <row r="180" spans="1:23" x14ac:dyDescent="0.3">
      <c r="A180" t="str">
        <f t="shared" si="27"/>
        <v>Jun-28</v>
      </c>
      <c r="B180" t="str">
        <f t="shared" si="28"/>
        <v>Jun-28|W1</v>
      </c>
      <c r="C180">
        <v>6</v>
      </c>
      <c r="D180" t="s">
        <v>106</v>
      </c>
      <c r="E180">
        <v>2028</v>
      </c>
      <c r="F180" t="s">
        <v>97</v>
      </c>
      <c r="G180" t="s">
        <v>129</v>
      </c>
      <c r="H180" s="3">
        <f t="shared" si="29"/>
        <v>46895</v>
      </c>
      <c r="I180" s="3">
        <f t="shared" si="30"/>
        <v>46901</v>
      </c>
      <c r="J180" s="1">
        <f t="shared" si="25"/>
        <v>0</v>
      </c>
      <c r="K180" s="1">
        <f t="shared" si="26"/>
        <v>7</v>
      </c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>
        <v>56</v>
      </c>
      <c r="W180" s="26">
        <v>56</v>
      </c>
    </row>
    <row r="181" spans="1:23" x14ac:dyDescent="0.3">
      <c r="A181" t="str">
        <f t="shared" si="27"/>
        <v>Jun-28</v>
      </c>
      <c r="B181" t="str">
        <f t="shared" si="28"/>
        <v>Jun-28|W2</v>
      </c>
      <c r="C181">
        <v>6</v>
      </c>
      <c r="D181" t="s">
        <v>106</v>
      </c>
      <c r="E181">
        <v>2028</v>
      </c>
      <c r="F181" t="s">
        <v>98</v>
      </c>
      <c r="G181" t="s">
        <v>130</v>
      </c>
      <c r="H181" s="3">
        <f t="shared" si="29"/>
        <v>46902</v>
      </c>
      <c r="I181" s="3">
        <f t="shared" si="30"/>
        <v>46908</v>
      </c>
      <c r="J181" s="1">
        <f t="shared" si="25"/>
        <v>4</v>
      </c>
      <c r="K181" s="1">
        <f t="shared" si="26"/>
        <v>3</v>
      </c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>
        <v>56</v>
      </c>
      <c r="W181" s="26">
        <v>56</v>
      </c>
    </row>
    <row r="182" spans="1:23" x14ac:dyDescent="0.3">
      <c r="A182" t="str">
        <f t="shared" si="27"/>
        <v>Jun-28</v>
      </c>
      <c r="B182" t="str">
        <f t="shared" si="28"/>
        <v>Jun-28|W3</v>
      </c>
      <c r="C182">
        <v>6</v>
      </c>
      <c r="D182" t="s">
        <v>106</v>
      </c>
      <c r="E182">
        <v>2028</v>
      </c>
      <c r="F182" t="s">
        <v>99</v>
      </c>
      <c r="G182" t="s">
        <v>131</v>
      </c>
      <c r="H182" s="3">
        <f t="shared" si="29"/>
        <v>46909</v>
      </c>
      <c r="I182" s="3">
        <f t="shared" si="30"/>
        <v>46915</v>
      </c>
      <c r="J182" s="1">
        <f t="shared" si="25"/>
        <v>7</v>
      </c>
      <c r="K182" s="1">
        <f t="shared" si="26"/>
        <v>0</v>
      </c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>
        <v>56</v>
      </c>
      <c r="W182" s="26">
        <v>56</v>
      </c>
    </row>
    <row r="183" spans="1:23" x14ac:dyDescent="0.3">
      <c r="A183" t="str">
        <f t="shared" si="27"/>
        <v>Jun-28</v>
      </c>
      <c r="B183" t="str">
        <f t="shared" si="28"/>
        <v>Jun-28|W4</v>
      </c>
      <c r="C183">
        <v>6</v>
      </c>
      <c r="D183" t="s">
        <v>106</v>
      </c>
      <c r="E183">
        <v>2028</v>
      </c>
      <c r="F183" t="s">
        <v>100</v>
      </c>
      <c r="G183" t="s">
        <v>132</v>
      </c>
      <c r="H183" s="3">
        <f t="shared" si="29"/>
        <v>46916</v>
      </c>
      <c r="I183" s="3">
        <f t="shared" si="30"/>
        <v>46922</v>
      </c>
      <c r="J183" s="1">
        <f t="shared" si="25"/>
        <v>7</v>
      </c>
      <c r="K183" s="1">
        <f t="shared" si="26"/>
        <v>0</v>
      </c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>
        <v>56</v>
      </c>
      <c r="W183" s="26">
        <v>56</v>
      </c>
    </row>
    <row r="184" spans="1:23" x14ac:dyDescent="0.3">
      <c r="A184" t="str">
        <f t="shared" si="27"/>
        <v>Jun-28</v>
      </c>
      <c r="B184" t="str">
        <f t="shared" si="28"/>
        <v>Jun-28|W5</v>
      </c>
      <c r="C184">
        <v>6</v>
      </c>
      <c r="D184" t="s">
        <v>106</v>
      </c>
      <c r="E184">
        <v>2028</v>
      </c>
      <c r="F184" t="s">
        <v>103</v>
      </c>
      <c r="G184" t="s">
        <v>133</v>
      </c>
      <c r="H184" s="3">
        <f t="shared" si="29"/>
        <v>46923</v>
      </c>
      <c r="I184" s="3">
        <f t="shared" si="30"/>
        <v>46929</v>
      </c>
      <c r="J184" s="1">
        <f t="shared" si="25"/>
        <v>7</v>
      </c>
      <c r="K184" s="1">
        <f t="shared" si="26"/>
        <v>0</v>
      </c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>
        <v>56</v>
      </c>
      <c r="W184" s="26">
        <v>56</v>
      </c>
    </row>
    <row r="185" spans="1:23" x14ac:dyDescent="0.3">
      <c r="A185" t="str">
        <f t="shared" si="27"/>
        <v>Jul-28</v>
      </c>
      <c r="B185" t="str">
        <f t="shared" si="28"/>
        <v>Jul-28|W1</v>
      </c>
      <c r="C185">
        <v>7</v>
      </c>
      <c r="D185" t="s">
        <v>107</v>
      </c>
      <c r="E185">
        <v>2028</v>
      </c>
      <c r="F185" t="s">
        <v>97</v>
      </c>
      <c r="G185" t="s">
        <v>134</v>
      </c>
      <c r="H185" s="3">
        <f t="shared" si="29"/>
        <v>46930</v>
      </c>
      <c r="I185" s="3">
        <f t="shared" si="30"/>
        <v>46936</v>
      </c>
      <c r="J185" s="1">
        <f t="shared" si="25"/>
        <v>2</v>
      </c>
      <c r="K185" s="1">
        <f t="shared" si="26"/>
        <v>5</v>
      </c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>
        <v>56</v>
      </c>
      <c r="W185" s="26">
        <v>56</v>
      </c>
    </row>
    <row r="186" spans="1:23" x14ac:dyDescent="0.3">
      <c r="A186" t="str">
        <f t="shared" si="27"/>
        <v>Jul-28</v>
      </c>
      <c r="B186" t="str">
        <f t="shared" si="28"/>
        <v>Jul-28|W2</v>
      </c>
      <c r="C186">
        <v>7</v>
      </c>
      <c r="D186" t="s">
        <v>107</v>
      </c>
      <c r="E186">
        <v>2028</v>
      </c>
      <c r="F186" t="s">
        <v>98</v>
      </c>
      <c r="G186" t="s">
        <v>135</v>
      </c>
      <c r="H186" s="3">
        <f t="shared" si="29"/>
        <v>46937</v>
      </c>
      <c r="I186" s="3">
        <f t="shared" si="30"/>
        <v>46943</v>
      </c>
      <c r="J186" s="1">
        <f t="shared" si="25"/>
        <v>7</v>
      </c>
      <c r="K186" s="1">
        <f t="shared" si="26"/>
        <v>0</v>
      </c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>
        <v>56</v>
      </c>
      <c r="W186" s="26">
        <v>56</v>
      </c>
    </row>
    <row r="187" spans="1:23" x14ac:dyDescent="0.3">
      <c r="A187" t="str">
        <f t="shared" si="27"/>
        <v>Jul-28</v>
      </c>
      <c r="B187" t="str">
        <f t="shared" si="28"/>
        <v>Jul-28|W3</v>
      </c>
      <c r="C187">
        <v>7</v>
      </c>
      <c r="D187" t="s">
        <v>107</v>
      </c>
      <c r="E187">
        <v>2028</v>
      </c>
      <c r="F187" t="s">
        <v>99</v>
      </c>
      <c r="G187" t="s">
        <v>136</v>
      </c>
      <c r="H187" s="3">
        <f t="shared" si="29"/>
        <v>46944</v>
      </c>
      <c r="I187" s="3">
        <f t="shared" si="30"/>
        <v>46950</v>
      </c>
      <c r="J187" s="1">
        <f t="shared" si="25"/>
        <v>7</v>
      </c>
      <c r="K187" s="1">
        <f t="shared" si="26"/>
        <v>0</v>
      </c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>
        <v>56</v>
      </c>
      <c r="W187" s="26">
        <v>56</v>
      </c>
    </row>
    <row r="188" spans="1:23" x14ac:dyDescent="0.3">
      <c r="A188" t="str">
        <f t="shared" si="27"/>
        <v>Jul-28</v>
      </c>
      <c r="B188" t="str">
        <f t="shared" si="28"/>
        <v>Jul-28|W4</v>
      </c>
      <c r="C188">
        <v>7</v>
      </c>
      <c r="D188" t="s">
        <v>107</v>
      </c>
      <c r="E188">
        <v>2028</v>
      </c>
      <c r="F188" t="s">
        <v>100</v>
      </c>
      <c r="G188" t="s">
        <v>137</v>
      </c>
      <c r="H188" s="3">
        <f t="shared" si="29"/>
        <v>46951</v>
      </c>
      <c r="I188" s="3">
        <f t="shared" si="30"/>
        <v>46957</v>
      </c>
      <c r="J188" s="1">
        <f t="shared" si="25"/>
        <v>7</v>
      </c>
      <c r="K188" s="1">
        <f t="shared" si="26"/>
        <v>0</v>
      </c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>
        <v>56</v>
      </c>
      <c r="W188" s="26">
        <v>56</v>
      </c>
    </row>
    <row r="189" spans="1:23" x14ac:dyDescent="0.3">
      <c r="A189" t="str">
        <f t="shared" si="27"/>
        <v>Aug-28</v>
      </c>
      <c r="B189" t="str">
        <f t="shared" si="28"/>
        <v>Aug-28|W1</v>
      </c>
      <c r="C189">
        <v>8</v>
      </c>
      <c r="D189" t="s">
        <v>108</v>
      </c>
      <c r="E189">
        <v>2028</v>
      </c>
      <c r="F189" t="s">
        <v>97</v>
      </c>
      <c r="G189" t="s">
        <v>138</v>
      </c>
      <c r="H189" s="3">
        <f t="shared" si="29"/>
        <v>46958</v>
      </c>
      <c r="I189" s="3">
        <f t="shared" si="30"/>
        <v>46964</v>
      </c>
      <c r="J189" s="1">
        <f t="shared" si="25"/>
        <v>0</v>
      </c>
      <c r="K189" s="1">
        <f t="shared" si="26"/>
        <v>7</v>
      </c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>
        <v>56</v>
      </c>
      <c r="W189" s="26">
        <v>56</v>
      </c>
    </row>
    <row r="190" spans="1:23" x14ac:dyDescent="0.3">
      <c r="A190" t="str">
        <f t="shared" si="27"/>
        <v>Aug-28</v>
      </c>
      <c r="B190" t="str">
        <f t="shared" si="28"/>
        <v>Aug-28|W2</v>
      </c>
      <c r="C190">
        <v>8</v>
      </c>
      <c r="D190" t="s">
        <v>108</v>
      </c>
      <c r="E190">
        <v>2028</v>
      </c>
      <c r="F190" t="s">
        <v>98</v>
      </c>
      <c r="G190" t="s">
        <v>139</v>
      </c>
      <c r="H190" s="3">
        <f t="shared" si="29"/>
        <v>46965</v>
      </c>
      <c r="I190" s="3">
        <f t="shared" si="30"/>
        <v>46971</v>
      </c>
      <c r="J190" s="1">
        <f t="shared" si="25"/>
        <v>6</v>
      </c>
      <c r="K190" s="1">
        <f t="shared" si="26"/>
        <v>1</v>
      </c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>
        <v>56</v>
      </c>
      <c r="W190" s="26">
        <v>56</v>
      </c>
    </row>
    <row r="191" spans="1:23" x14ac:dyDescent="0.3">
      <c r="A191" t="str">
        <f t="shared" si="27"/>
        <v>Aug-28</v>
      </c>
      <c r="B191" t="str">
        <f t="shared" si="28"/>
        <v>Aug-28|W3</v>
      </c>
      <c r="C191">
        <v>8</v>
      </c>
      <c r="D191" t="s">
        <v>108</v>
      </c>
      <c r="E191">
        <v>2028</v>
      </c>
      <c r="F191" t="s">
        <v>99</v>
      </c>
      <c r="G191" t="s">
        <v>140</v>
      </c>
      <c r="H191" s="3">
        <f t="shared" si="29"/>
        <v>46972</v>
      </c>
      <c r="I191" s="3">
        <f t="shared" si="30"/>
        <v>46978</v>
      </c>
      <c r="J191" s="1">
        <f t="shared" si="25"/>
        <v>7</v>
      </c>
      <c r="K191" s="1">
        <f t="shared" si="26"/>
        <v>0</v>
      </c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>
        <v>56</v>
      </c>
      <c r="W191" s="26">
        <v>56</v>
      </c>
    </row>
    <row r="192" spans="1:23" x14ac:dyDescent="0.3">
      <c r="A192" t="str">
        <f t="shared" si="27"/>
        <v>Aug-28</v>
      </c>
      <c r="B192" t="str">
        <f t="shared" si="28"/>
        <v>Aug-28|W4</v>
      </c>
      <c r="C192">
        <v>8</v>
      </c>
      <c r="D192" t="s">
        <v>108</v>
      </c>
      <c r="E192">
        <v>2028</v>
      </c>
      <c r="F192" t="s">
        <v>100</v>
      </c>
      <c r="G192" t="s">
        <v>141</v>
      </c>
      <c r="H192" s="3">
        <f t="shared" si="29"/>
        <v>46979</v>
      </c>
      <c r="I192" s="3">
        <f t="shared" si="30"/>
        <v>46985</v>
      </c>
      <c r="J192" s="1">
        <f t="shared" si="25"/>
        <v>7</v>
      </c>
      <c r="K192" s="1">
        <f t="shared" si="26"/>
        <v>0</v>
      </c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>
        <v>56</v>
      </c>
      <c r="W192" s="26">
        <v>56</v>
      </c>
    </row>
    <row r="193" spans="1:23" x14ac:dyDescent="0.3">
      <c r="A193" t="str">
        <f t="shared" si="27"/>
        <v>Sep-28</v>
      </c>
      <c r="B193" t="str">
        <f t="shared" si="28"/>
        <v>Sep-28|W1</v>
      </c>
      <c r="C193">
        <v>9</v>
      </c>
      <c r="D193" t="s">
        <v>109</v>
      </c>
      <c r="E193">
        <v>2028</v>
      </c>
      <c r="F193" t="s">
        <v>97</v>
      </c>
      <c r="G193" t="s">
        <v>142</v>
      </c>
      <c r="H193" s="3">
        <f t="shared" si="29"/>
        <v>46986</v>
      </c>
      <c r="I193" s="3">
        <f t="shared" si="30"/>
        <v>46992</v>
      </c>
      <c r="J193" s="1">
        <f t="shared" si="25"/>
        <v>0</v>
      </c>
      <c r="K193" s="1">
        <f t="shared" si="26"/>
        <v>7</v>
      </c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>
        <v>56</v>
      </c>
      <c r="W193" s="26">
        <v>56</v>
      </c>
    </row>
    <row r="194" spans="1:23" x14ac:dyDescent="0.3">
      <c r="A194" t="str">
        <f t="shared" si="27"/>
        <v>Sep-28</v>
      </c>
      <c r="B194" t="str">
        <f t="shared" si="28"/>
        <v>Sep-28|W2</v>
      </c>
      <c r="C194">
        <v>9</v>
      </c>
      <c r="D194" t="s">
        <v>109</v>
      </c>
      <c r="E194">
        <v>2028</v>
      </c>
      <c r="F194" t="s">
        <v>98</v>
      </c>
      <c r="G194" t="s">
        <v>143</v>
      </c>
      <c r="H194" s="3">
        <f t="shared" si="29"/>
        <v>46993</v>
      </c>
      <c r="I194" s="3">
        <f t="shared" si="30"/>
        <v>46999</v>
      </c>
      <c r="J194" s="1">
        <f t="shared" si="25"/>
        <v>3</v>
      </c>
      <c r="K194" s="1">
        <f t="shared" si="26"/>
        <v>4</v>
      </c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>
        <v>56</v>
      </c>
      <c r="W194" s="26">
        <v>56</v>
      </c>
    </row>
    <row r="195" spans="1:23" x14ac:dyDescent="0.3">
      <c r="A195" t="str">
        <f t="shared" si="27"/>
        <v>Sep-28</v>
      </c>
      <c r="B195" t="str">
        <f t="shared" si="28"/>
        <v>Sep-28|W3</v>
      </c>
      <c r="C195">
        <v>9</v>
      </c>
      <c r="D195" t="s">
        <v>109</v>
      </c>
      <c r="E195">
        <v>2028</v>
      </c>
      <c r="F195" t="s">
        <v>99</v>
      </c>
      <c r="G195" t="s">
        <v>144</v>
      </c>
      <c r="H195" s="3">
        <f t="shared" si="29"/>
        <v>47000</v>
      </c>
      <c r="I195" s="3">
        <f t="shared" si="30"/>
        <v>47006</v>
      </c>
      <c r="J195" s="1">
        <f t="shared" si="25"/>
        <v>7</v>
      </c>
      <c r="K195" s="1">
        <f t="shared" si="26"/>
        <v>0</v>
      </c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>
        <v>56</v>
      </c>
      <c r="W195" s="26">
        <v>56</v>
      </c>
    </row>
    <row r="196" spans="1:23" x14ac:dyDescent="0.3">
      <c r="A196" t="str">
        <f t="shared" si="27"/>
        <v>Sep-28</v>
      </c>
      <c r="B196" t="str">
        <f t="shared" si="28"/>
        <v>Sep-28|W4</v>
      </c>
      <c r="C196">
        <v>9</v>
      </c>
      <c r="D196" t="s">
        <v>109</v>
      </c>
      <c r="E196">
        <v>2028</v>
      </c>
      <c r="F196" t="s">
        <v>100</v>
      </c>
      <c r="G196" t="s">
        <v>145</v>
      </c>
      <c r="H196" s="3">
        <f t="shared" si="29"/>
        <v>47007</v>
      </c>
      <c r="I196" s="3">
        <f t="shared" si="30"/>
        <v>47013</v>
      </c>
      <c r="J196" s="1">
        <f t="shared" si="25"/>
        <v>7</v>
      </c>
      <c r="K196" s="1">
        <f t="shared" si="26"/>
        <v>0</v>
      </c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>
        <v>56</v>
      </c>
      <c r="W196" s="26">
        <v>56</v>
      </c>
    </row>
    <row r="197" spans="1:23" x14ac:dyDescent="0.3">
      <c r="A197" t="str">
        <f t="shared" si="27"/>
        <v>Sep-28</v>
      </c>
      <c r="B197" t="str">
        <f t="shared" si="28"/>
        <v>Sep-28|W5</v>
      </c>
      <c r="C197">
        <v>9</v>
      </c>
      <c r="D197" t="s">
        <v>109</v>
      </c>
      <c r="E197">
        <v>2028</v>
      </c>
      <c r="F197" t="s">
        <v>103</v>
      </c>
      <c r="G197" t="s">
        <v>146</v>
      </c>
      <c r="H197" s="3">
        <f t="shared" si="29"/>
        <v>47014</v>
      </c>
      <c r="I197" s="3">
        <f t="shared" si="30"/>
        <v>47020</v>
      </c>
      <c r="J197" s="1">
        <f t="shared" si="25"/>
        <v>7</v>
      </c>
      <c r="K197" s="1">
        <f t="shared" si="26"/>
        <v>0</v>
      </c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>
        <v>56</v>
      </c>
      <c r="W197" s="26">
        <v>56</v>
      </c>
    </row>
    <row r="198" spans="1:23" x14ac:dyDescent="0.3">
      <c r="A198" t="str">
        <f t="shared" si="27"/>
        <v>Oct-28</v>
      </c>
      <c r="B198" t="str">
        <f t="shared" si="28"/>
        <v>Oct-28|W1</v>
      </c>
      <c r="C198">
        <v>10</v>
      </c>
      <c r="D198" t="s">
        <v>110</v>
      </c>
      <c r="E198">
        <v>2028</v>
      </c>
      <c r="F198" t="s">
        <v>97</v>
      </c>
      <c r="G198" t="s">
        <v>147</v>
      </c>
      <c r="H198" s="3">
        <f t="shared" si="29"/>
        <v>47021</v>
      </c>
      <c r="I198" s="3">
        <f t="shared" si="30"/>
        <v>47027</v>
      </c>
      <c r="J198" s="1">
        <f t="shared" si="25"/>
        <v>1</v>
      </c>
      <c r="K198" s="1">
        <f t="shared" si="26"/>
        <v>6</v>
      </c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>
        <v>56</v>
      </c>
      <c r="W198" s="26">
        <v>56</v>
      </c>
    </row>
    <row r="199" spans="1:23" x14ac:dyDescent="0.3">
      <c r="A199" t="str">
        <f t="shared" si="27"/>
        <v>Oct-28</v>
      </c>
      <c r="B199" t="str">
        <f t="shared" si="28"/>
        <v>Oct-28|W2</v>
      </c>
      <c r="C199">
        <v>10</v>
      </c>
      <c r="D199" t="s">
        <v>110</v>
      </c>
      <c r="E199">
        <v>2028</v>
      </c>
      <c r="F199" t="s">
        <v>98</v>
      </c>
      <c r="G199" t="s">
        <v>148</v>
      </c>
      <c r="H199" s="3">
        <f t="shared" si="29"/>
        <v>47028</v>
      </c>
      <c r="I199" s="3">
        <f t="shared" si="30"/>
        <v>47034</v>
      </c>
      <c r="J199" s="1">
        <f t="shared" si="25"/>
        <v>7</v>
      </c>
      <c r="K199" s="1">
        <f t="shared" si="26"/>
        <v>0</v>
      </c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>
        <v>56</v>
      </c>
      <c r="W199" s="26">
        <v>56</v>
      </c>
    </row>
    <row r="200" spans="1:23" x14ac:dyDescent="0.3">
      <c r="A200" t="str">
        <f t="shared" si="27"/>
        <v>Oct-28</v>
      </c>
      <c r="B200" t="str">
        <f t="shared" si="28"/>
        <v>Oct-28|W3</v>
      </c>
      <c r="C200">
        <v>10</v>
      </c>
      <c r="D200" t="s">
        <v>110</v>
      </c>
      <c r="E200">
        <v>2028</v>
      </c>
      <c r="F200" t="s">
        <v>99</v>
      </c>
      <c r="G200" t="s">
        <v>149</v>
      </c>
      <c r="H200" s="3">
        <f t="shared" si="29"/>
        <v>47035</v>
      </c>
      <c r="I200" s="3">
        <f t="shared" si="30"/>
        <v>47041</v>
      </c>
      <c r="J200" s="1">
        <f t="shared" si="25"/>
        <v>7</v>
      </c>
      <c r="K200" s="1">
        <f t="shared" si="26"/>
        <v>0</v>
      </c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>
        <v>56</v>
      </c>
      <c r="W200" s="26">
        <v>56</v>
      </c>
    </row>
    <row r="201" spans="1:23" x14ac:dyDescent="0.3">
      <c r="A201" t="str">
        <f t="shared" si="27"/>
        <v>Oct-28</v>
      </c>
      <c r="B201" t="str">
        <f t="shared" si="28"/>
        <v>Oct-28|W4</v>
      </c>
      <c r="C201">
        <v>10</v>
      </c>
      <c r="D201" t="s">
        <v>110</v>
      </c>
      <c r="E201">
        <v>2028</v>
      </c>
      <c r="F201" t="s">
        <v>100</v>
      </c>
      <c r="G201" t="s">
        <v>150</v>
      </c>
      <c r="H201" s="3">
        <f t="shared" si="29"/>
        <v>47042</v>
      </c>
      <c r="I201" s="3">
        <f t="shared" si="30"/>
        <v>47048</v>
      </c>
      <c r="J201" s="1">
        <f t="shared" si="25"/>
        <v>7</v>
      </c>
      <c r="K201" s="1">
        <f t="shared" si="26"/>
        <v>0</v>
      </c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>
        <v>56</v>
      </c>
      <c r="W201" s="26">
        <v>56</v>
      </c>
    </row>
    <row r="202" spans="1:23" x14ac:dyDescent="0.3">
      <c r="A202" t="str">
        <f t="shared" si="27"/>
        <v>Nov-28</v>
      </c>
      <c r="B202" t="str">
        <f t="shared" si="28"/>
        <v>Nov-28|W1</v>
      </c>
      <c r="C202">
        <v>11</v>
      </c>
      <c r="D202" t="s">
        <v>111</v>
      </c>
      <c r="E202">
        <v>2028</v>
      </c>
      <c r="F202" t="s">
        <v>97</v>
      </c>
      <c r="G202" t="s">
        <v>151</v>
      </c>
      <c r="H202" s="3">
        <f t="shared" si="29"/>
        <v>47049</v>
      </c>
      <c r="I202" s="3">
        <f t="shared" si="30"/>
        <v>47055</v>
      </c>
      <c r="J202" s="1">
        <f t="shared" si="25"/>
        <v>0</v>
      </c>
      <c r="K202" s="1">
        <f t="shared" si="26"/>
        <v>7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>
        <v>56</v>
      </c>
      <c r="W202" s="26">
        <v>56</v>
      </c>
    </row>
    <row r="203" spans="1:23" x14ac:dyDescent="0.3">
      <c r="A203" t="str">
        <f t="shared" si="27"/>
        <v>Nov-28</v>
      </c>
      <c r="B203" t="str">
        <f t="shared" si="28"/>
        <v>Nov-28|W2</v>
      </c>
      <c r="C203">
        <v>11</v>
      </c>
      <c r="D203" t="s">
        <v>111</v>
      </c>
      <c r="E203">
        <v>2028</v>
      </c>
      <c r="F203" t="s">
        <v>98</v>
      </c>
      <c r="G203" t="s">
        <v>152</v>
      </c>
      <c r="H203" s="3">
        <f t="shared" si="29"/>
        <v>47056</v>
      </c>
      <c r="I203" s="3">
        <f t="shared" si="30"/>
        <v>47062</v>
      </c>
      <c r="J203" s="1">
        <f t="shared" si="25"/>
        <v>5</v>
      </c>
      <c r="K203" s="1">
        <f t="shared" si="26"/>
        <v>2</v>
      </c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>
        <v>56</v>
      </c>
      <c r="W203" s="26">
        <v>56</v>
      </c>
    </row>
    <row r="204" spans="1:23" x14ac:dyDescent="0.3">
      <c r="A204" t="str">
        <f t="shared" si="27"/>
        <v>Nov-28</v>
      </c>
      <c r="B204" t="str">
        <f t="shared" si="28"/>
        <v>Nov-28|W3</v>
      </c>
      <c r="C204">
        <v>11</v>
      </c>
      <c r="D204" t="s">
        <v>111</v>
      </c>
      <c r="E204">
        <v>2028</v>
      </c>
      <c r="F204" t="s">
        <v>99</v>
      </c>
      <c r="G204" t="s">
        <v>153</v>
      </c>
      <c r="H204" s="3">
        <f t="shared" si="29"/>
        <v>47063</v>
      </c>
      <c r="I204" s="3">
        <f t="shared" si="30"/>
        <v>47069</v>
      </c>
      <c r="J204" s="1">
        <f t="shared" si="25"/>
        <v>7</v>
      </c>
      <c r="K204" s="1">
        <f t="shared" si="26"/>
        <v>0</v>
      </c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>
        <v>56</v>
      </c>
      <c r="W204" s="26">
        <v>56</v>
      </c>
    </row>
    <row r="205" spans="1:23" x14ac:dyDescent="0.3">
      <c r="A205" t="str">
        <f t="shared" si="27"/>
        <v>Nov-28</v>
      </c>
      <c r="B205" t="str">
        <f t="shared" si="28"/>
        <v>Nov-28|W4</v>
      </c>
      <c r="C205">
        <v>11</v>
      </c>
      <c r="D205" t="s">
        <v>111</v>
      </c>
      <c r="E205">
        <v>2028</v>
      </c>
      <c r="F205" t="s">
        <v>100</v>
      </c>
      <c r="G205" t="s">
        <v>154</v>
      </c>
      <c r="H205" s="3">
        <f t="shared" si="29"/>
        <v>47070</v>
      </c>
      <c r="I205" s="3">
        <f t="shared" si="30"/>
        <v>47076</v>
      </c>
      <c r="J205" s="1">
        <f t="shared" si="25"/>
        <v>7</v>
      </c>
      <c r="K205" s="1">
        <f t="shared" si="26"/>
        <v>0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>
        <v>56</v>
      </c>
      <c r="W205" s="26">
        <v>56</v>
      </c>
    </row>
    <row r="206" spans="1:23" x14ac:dyDescent="0.3">
      <c r="A206" t="str">
        <f t="shared" si="27"/>
        <v>Dec-28</v>
      </c>
      <c r="B206" t="str">
        <f t="shared" si="28"/>
        <v>Dec-28|W1</v>
      </c>
      <c r="C206">
        <v>12</v>
      </c>
      <c r="D206" t="s">
        <v>112</v>
      </c>
      <c r="E206">
        <v>2028</v>
      </c>
      <c r="F206" t="s">
        <v>97</v>
      </c>
      <c r="G206" t="s">
        <v>155</v>
      </c>
      <c r="H206" s="3">
        <f t="shared" si="29"/>
        <v>47077</v>
      </c>
      <c r="I206" s="3">
        <f t="shared" si="30"/>
        <v>47083</v>
      </c>
      <c r="J206" s="1">
        <f t="shared" si="25"/>
        <v>0</v>
      </c>
      <c r="K206" s="1">
        <f t="shared" si="26"/>
        <v>7</v>
      </c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>
        <v>56</v>
      </c>
      <c r="W206" s="26">
        <v>56</v>
      </c>
    </row>
    <row r="207" spans="1:23" x14ac:dyDescent="0.3">
      <c r="A207" t="str">
        <f t="shared" si="27"/>
        <v>Dec-28</v>
      </c>
      <c r="B207" t="str">
        <f t="shared" si="28"/>
        <v>Dec-28|W2</v>
      </c>
      <c r="C207">
        <v>12</v>
      </c>
      <c r="D207" t="s">
        <v>112</v>
      </c>
      <c r="E207">
        <v>2028</v>
      </c>
      <c r="F207" t="s">
        <v>98</v>
      </c>
      <c r="G207" t="s">
        <v>156</v>
      </c>
      <c r="H207" s="3">
        <f t="shared" si="29"/>
        <v>47084</v>
      </c>
      <c r="I207" s="3">
        <f t="shared" si="30"/>
        <v>47090</v>
      </c>
      <c r="J207" s="1">
        <f t="shared" si="25"/>
        <v>3</v>
      </c>
      <c r="K207" s="1">
        <f t="shared" si="26"/>
        <v>4</v>
      </c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>
        <v>56</v>
      </c>
      <c r="W207" s="26">
        <v>56</v>
      </c>
    </row>
    <row r="208" spans="1:23" x14ac:dyDescent="0.3">
      <c r="A208" t="str">
        <f t="shared" si="27"/>
        <v>Dec-28</v>
      </c>
      <c r="B208" t="str">
        <f t="shared" si="28"/>
        <v>Dec-28|W3</v>
      </c>
      <c r="C208">
        <v>12</v>
      </c>
      <c r="D208" t="s">
        <v>112</v>
      </c>
      <c r="E208">
        <v>2028</v>
      </c>
      <c r="F208" t="s">
        <v>99</v>
      </c>
      <c r="G208" t="s">
        <v>157</v>
      </c>
      <c r="H208" s="3">
        <f t="shared" si="29"/>
        <v>47091</v>
      </c>
      <c r="I208" s="3">
        <f t="shared" si="30"/>
        <v>47097</v>
      </c>
      <c r="J208" s="1">
        <f>IF(NOT(MONTH(H208)=MONTH(I208)),I208-DATE(E208,C208,1)+1,
    IF(MONTH(I208)=C208-1, 0,7))</f>
        <v>7</v>
      </c>
      <c r="K208" s="1">
        <f t="shared" si="26"/>
        <v>0</v>
      </c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>
        <v>56</v>
      </c>
      <c r="W208" s="26">
        <v>56</v>
      </c>
    </row>
    <row r="209" spans="1:23" x14ac:dyDescent="0.3">
      <c r="A209" t="str">
        <f t="shared" si="27"/>
        <v>Dec-28</v>
      </c>
      <c r="B209" t="str">
        <f t="shared" si="28"/>
        <v>Dec-28|W4</v>
      </c>
      <c r="C209">
        <v>12</v>
      </c>
      <c r="D209" t="s">
        <v>112</v>
      </c>
      <c r="E209">
        <v>2028</v>
      </c>
      <c r="F209" t="s">
        <v>100</v>
      </c>
      <c r="G209" t="s">
        <v>158</v>
      </c>
      <c r="H209" s="3">
        <f t="shared" si="29"/>
        <v>47098</v>
      </c>
      <c r="I209" s="3">
        <f t="shared" si="30"/>
        <v>47104</v>
      </c>
      <c r="J209" s="1">
        <f>IF(NOT(MONTH(H209)=MONTH(I209)),I209-DATE(E209,C209,1)+1,
    IF(MONTH(I209)=C209-1, 0,7))</f>
        <v>7</v>
      </c>
      <c r="K209" s="1">
        <f>7-J209</f>
        <v>0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>
        <v>56</v>
      </c>
      <c r="W209" s="26">
        <v>56</v>
      </c>
    </row>
    <row r="210" spans="1:23" x14ac:dyDescent="0.3">
      <c r="A210" t="str">
        <f t="shared" si="27"/>
        <v>Dec-28</v>
      </c>
      <c r="B210" t="str">
        <f t="shared" si="28"/>
        <v>Dec-28|W5</v>
      </c>
      <c r="C210">
        <v>12</v>
      </c>
      <c r="D210" t="s">
        <v>112</v>
      </c>
      <c r="E210">
        <v>2028</v>
      </c>
      <c r="F210" t="s">
        <v>103</v>
      </c>
      <c r="G210" t="s">
        <v>159</v>
      </c>
      <c r="H210" s="3">
        <f t="shared" si="29"/>
        <v>47105</v>
      </c>
      <c r="I210" s="3">
        <f t="shared" si="30"/>
        <v>47111</v>
      </c>
      <c r="J210" s="1">
        <f>IF(NOT(MONTH(H210)=MONTH(I210)),I210-DATE(E210,C210,1)+1,
    IF(MONTH(I210)=C210-1, 0,7))</f>
        <v>7</v>
      </c>
      <c r="K210" s="1">
        <f>7-J210</f>
        <v>0</v>
      </c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>
        <v>56</v>
      </c>
      <c r="W210" s="26">
        <v>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D71B5D-7A42-40C4-97B3-BAA3E19EEBDD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RCCP</vt:lpstr>
      <vt:lpstr>Calendar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Dhruwanshi, Abhishek</dc:creator>
  <cp:keywords/>
  <dc:description/>
  <cp:lastModifiedBy>akshay nangalia</cp:lastModifiedBy>
  <cp:revision/>
  <dcterms:created xsi:type="dcterms:W3CDTF">2015-06-05T18:17:20Z</dcterms:created>
  <dcterms:modified xsi:type="dcterms:W3CDTF">2026-08-31T12:10:04Z</dcterms:modified>
  <cp:category/>
  <cp:contentStatus/>
</cp:coreProperties>
</file>