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riority(Linkcode Level)" sheetId="1" state="visible" r:id="rId1"/>
    <sheet name="Calenda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_ ;_ * \-#,##0.0_ ;_ * &quot;-&quot;??_ ;_ @_ "/>
    <numFmt numFmtId="165" formatCode="_ * #,##0_ ;_ * \-#,##0_ ;_ * &quot;-&quot;??_ ;_ @_ 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0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8"/>
      <scheme val="minor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8">
    <xf numFmtId="0" fontId="4" fillId="0" borderId="0"/>
    <xf numFmtId="9" fontId="4" fillId="0" borderId="0"/>
    <xf numFmtId="0" fontId="5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</cellStyleXfs>
  <cellXfs count="64">
    <xf numFmtId="0" fontId="0" fillId="0" borderId="0" pivotButton="0" quotePrefix="0" xfId="0"/>
    <xf numFmtId="1" fontId="0" fillId="0" borderId="0" pivotButton="0" quotePrefix="0" xfId="0"/>
    <xf numFmtId="0" fontId="0" fillId="5" borderId="0" pivotButton="0" quotePrefix="0" xfId="0"/>
    <xf numFmtId="14" fontId="0" fillId="0" borderId="0" applyAlignment="1" pivotButton="0" quotePrefix="0" xfId="0">
      <alignment horizontal="center"/>
    </xf>
    <xf numFmtId="0" fontId="7" fillId="2" borderId="10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164" fontId="7" fillId="2" borderId="11" applyAlignment="1" pivotButton="0" quotePrefix="0" xfId="5">
      <alignment horizontal="center"/>
    </xf>
    <xf numFmtId="164" fontId="7" fillId="2" borderId="9" applyAlignment="1" pivotButton="0" quotePrefix="0" xfId="5">
      <alignment horizontal="center"/>
    </xf>
    <xf numFmtId="9" fontId="7" fillId="2" borderId="10" applyAlignment="1" pivotButton="0" quotePrefix="0" xfId="1">
      <alignment horizontal="center"/>
    </xf>
    <xf numFmtId="9" fontId="7" fillId="2" borderId="15" applyAlignment="1" pivotButton="0" quotePrefix="0" xfId="1">
      <alignment horizontal="center"/>
    </xf>
    <xf numFmtId="9" fontId="7" fillId="2" borderId="11" applyAlignment="1" pivotButton="0" quotePrefix="0" xfId="1">
      <alignment horizontal="center"/>
    </xf>
    <xf numFmtId="9" fontId="7" fillId="2" borderId="12" applyAlignment="1" pivotButton="0" quotePrefix="0" xfId="1">
      <alignment horizontal="center"/>
    </xf>
    <xf numFmtId="0" fontId="1" fillId="4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10" fillId="0" borderId="0" pivotButton="0" quotePrefix="0" xfId="5"/>
    <xf numFmtId="9" fontId="10" fillId="0" borderId="0" pivotButton="0" quotePrefix="0" xfId="1"/>
    <xf numFmtId="0" fontId="2" fillId="10" borderId="0" applyAlignment="1" pivotButton="0" quotePrefix="0" xfId="2">
      <alignment horizontal="center"/>
    </xf>
    <xf numFmtId="0" fontId="3" fillId="10" borderId="0" pivotButton="0" quotePrefix="0" xfId="0"/>
    <xf numFmtId="0" fontId="3" fillId="10" borderId="0" applyAlignment="1" pivotButton="0" quotePrefix="0" xfId="0">
      <alignment horizontal="center"/>
    </xf>
    <xf numFmtId="164" fontId="3" fillId="10" borderId="0" pivotButton="0" quotePrefix="0" xfId="5"/>
    <xf numFmtId="164" fontId="6" fillId="11" borderId="2" applyAlignment="1" pivotButton="0" quotePrefix="0" xfId="5">
      <alignment horizontal="center" vertical="center" wrapText="1"/>
    </xf>
    <xf numFmtId="164" fontId="11" fillId="9" borderId="2" applyAlignment="1" pivotButton="0" quotePrefix="0" xfId="5">
      <alignment horizontal="center" vertical="center" wrapText="1"/>
    </xf>
    <xf numFmtId="164" fontId="6" fillId="12" borderId="2" applyAlignment="1" pivotButton="0" quotePrefix="0" xfId="5">
      <alignment horizontal="center" vertical="center" wrapText="1"/>
    </xf>
    <xf numFmtId="164" fontId="6" fillId="13" borderId="2" applyAlignment="1" pivotButton="0" quotePrefix="0" xfId="5">
      <alignment horizontal="center" vertical="center" wrapText="1"/>
    </xf>
    <xf numFmtId="0" fontId="0" fillId="10" borderId="0" pivotButton="0" quotePrefix="0" xfId="0"/>
    <xf numFmtId="164" fontId="3" fillId="10" borderId="0" applyAlignment="1" pivotButton="0" quotePrefix="0" xfId="5">
      <alignment horizontal="center"/>
    </xf>
    <xf numFmtId="165" fontId="8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8" fillId="10" borderId="0" applyAlignment="1" pivotButton="0" quotePrefix="0" xfId="0">
      <alignment horizontal="center"/>
    </xf>
    <xf numFmtId="0" fontId="8" fillId="10" borderId="0" applyAlignment="1" pivotButton="0" quotePrefix="0" xfId="5">
      <alignment horizontal="center"/>
    </xf>
    <xf numFmtId="0" fontId="12" fillId="0" borderId="0" pivotButton="0" quotePrefix="0" xfId="0"/>
    <xf numFmtId="0" fontId="9" fillId="2" borderId="10" applyAlignment="1" pivotButton="0" quotePrefix="0" xfId="0">
      <alignment horizontal="center" vertical="center"/>
    </xf>
    <xf numFmtId="0" fontId="8" fillId="8" borderId="0" pivotButton="0" quotePrefix="0" xfId="0"/>
    <xf numFmtId="164" fontId="3" fillId="10" borderId="0" pivotButton="0" quotePrefix="0" xfId="3"/>
    <xf numFmtId="165" fontId="7" fillId="2" borderId="17" applyAlignment="1" pivotButton="0" quotePrefix="0" xfId="0">
      <alignment horizontal="center" vertical="center"/>
    </xf>
    <xf numFmtId="165" fontId="9" fillId="2" borderId="18" applyAlignment="1" pivotButton="0" quotePrefix="0" xfId="0">
      <alignment horizontal="center" vertical="center"/>
    </xf>
    <xf numFmtId="164" fontId="7" fillId="2" borderId="15" applyAlignment="1" pivotButton="0" quotePrefix="0" xfId="5">
      <alignment horizontal="center"/>
    </xf>
    <xf numFmtId="165" fontId="1" fillId="14" borderId="0" applyAlignment="1" pivotButton="0" quotePrefix="0" xfId="0">
      <alignment horizontal="center" vertical="center"/>
    </xf>
    <xf numFmtId="165" fontId="7" fillId="14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/>
    </xf>
    <xf numFmtId="165" fontId="3" fillId="14" borderId="0" applyAlignment="1" pivotButton="0" quotePrefix="0" xfId="0">
      <alignment horizontal="center"/>
    </xf>
    <xf numFmtId="0" fontId="10" fillId="15" borderId="0" applyAlignment="1" pivotButton="0" quotePrefix="0" xfId="0">
      <alignment horizontal="center"/>
    </xf>
    <xf numFmtId="0" fontId="10" fillId="15" borderId="0" pivotButton="0" quotePrefix="0" xfId="0"/>
    <xf numFmtId="0" fontId="14" fillId="15" borderId="0" applyAlignment="1" pivotButton="0" quotePrefix="0" xfId="2">
      <alignment horizontal="center"/>
    </xf>
    <xf numFmtId="0" fontId="12" fillId="15" borderId="0" applyAlignment="1" pivotButton="0" quotePrefix="0" xfId="0">
      <alignment horizontal="center"/>
    </xf>
    <xf numFmtId="164" fontId="10" fillId="15" borderId="0" pivotButton="0" quotePrefix="0" xfId="5"/>
    <xf numFmtId="164" fontId="7" fillId="3" borderId="16" applyAlignment="1" pivotButton="0" quotePrefix="0" xfId="5">
      <alignment horizontal="left" vertical="center"/>
    </xf>
    <xf numFmtId="164" fontId="7" fillId="3" borderId="13" applyAlignment="1" pivotButton="0" quotePrefix="0" xfId="5">
      <alignment horizontal="left" vertical="center"/>
    </xf>
    <xf numFmtId="164" fontId="7" fillId="3" borderId="14" applyAlignment="1" pivotButton="0" quotePrefix="0" xfId="5">
      <alignment horizontal="left" vertical="center"/>
    </xf>
    <xf numFmtId="9" fontId="7" fillId="3" borderId="3" applyAlignment="1" pivotButton="0" quotePrefix="0" xfId="1">
      <alignment horizontal="left" vertical="center"/>
    </xf>
    <xf numFmtId="9" fontId="7" fillId="3" borderId="4" applyAlignment="1" pivotButton="0" quotePrefix="0" xfId="1">
      <alignment horizontal="left" vertical="center"/>
    </xf>
    <xf numFmtId="9" fontId="7" fillId="3" borderId="5" applyAlignment="1" pivotButton="0" quotePrefix="0" xfId="1">
      <alignment horizontal="left" vertical="center"/>
    </xf>
    <xf numFmtId="165" fontId="1" fillId="6" borderId="6" applyAlignment="1" pivotButton="0" quotePrefix="0" xfId="0">
      <alignment horizontal="center" vertical="center"/>
    </xf>
    <xf numFmtId="165" fontId="1" fillId="6" borderId="7" applyAlignment="1" pivotButton="0" quotePrefix="0" xfId="0">
      <alignment horizontal="center" vertical="center"/>
    </xf>
    <xf numFmtId="165" fontId="1" fillId="6" borderId="8" applyAlignment="1" pivotButton="0" quotePrefix="0" xfId="0">
      <alignment horizontal="center" vertical="center"/>
    </xf>
    <xf numFmtId="0" fontId="13" fillId="7" borderId="6" applyAlignment="1" pivotButton="0" quotePrefix="0" xfId="0">
      <alignment horizontal="center" vertical="center"/>
    </xf>
    <xf numFmtId="0" fontId="13" fillId="7" borderId="7" applyAlignment="1" pivotButton="0" quotePrefix="0" xfId="0">
      <alignment horizontal="center" vertical="center"/>
    </xf>
    <xf numFmtId="0" fontId="13" fillId="7" borderId="8" applyAlignment="1" pivotButton="0" quotePrefix="0" xfId="0">
      <alignment horizontal="center" vertical="center"/>
    </xf>
    <xf numFmtId="164" fontId="6" fillId="11" borderId="2" applyAlignment="1" pivotButton="0" quotePrefix="0" xfId="5">
      <alignment horizontal="center" vertical="center" wrapText="1"/>
    </xf>
    <xf numFmtId="164" fontId="11" fillId="9" borderId="2" applyAlignment="1" pivotButton="0" quotePrefix="0" xfId="5">
      <alignment horizontal="center" vertical="center" wrapText="1"/>
    </xf>
    <xf numFmtId="164" fontId="6" fillId="12" borderId="2" applyAlignment="1" pivotButton="0" quotePrefix="0" xfId="5">
      <alignment horizontal="center" vertical="center" wrapText="1"/>
    </xf>
    <xf numFmtId="164" fontId="6" fillId="13" borderId="2" applyAlignment="1" pivotButton="0" quotePrefix="0" xfId="5">
      <alignment horizontal="center" vertical="center" wrapText="1"/>
    </xf>
  </cellXfs>
  <cellStyles count="8">
    <cellStyle name="Normal" xfId="0" builtinId="0"/>
    <cellStyle name="Percent" xfId="1" builtinId="5"/>
    <cellStyle name="Normal 2" xfId="2"/>
    <cellStyle name="Comma 2" xfId="3"/>
    <cellStyle name="Comma 7" xfId="4"/>
    <cellStyle name="Comma" xfId="5" builtinId="3"/>
    <cellStyle name="Normal 2 4" xfId="6"/>
    <cellStyle name="Normal 9" xfId="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Code</t>
        </is>
      </c>
      <c r="B1" t="inlineStr">
        <is>
          <t>Link Desc Description</t>
        </is>
      </c>
      <c r="C1" t="inlineStr">
        <is>
          <t>Brand</t>
        </is>
      </c>
      <c r="D1" t="inlineStr">
        <is>
          <t>Plant</t>
        </is>
      </c>
      <c r="E1" t="inlineStr">
        <is>
          <t>Line</t>
        </is>
      </c>
      <c r="F1" t="inlineStr">
        <is>
          <t>MOQ</t>
        </is>
      </c>
      <c r="G1" t="n">
        <v>1</v>
      </c>
      <c r="H1" t="n">
        <v>2</v>
      </c>
      <c r="I1" t="n">
        <v>3</v>
      </c>
      <c r="J1" t="n">
        <v>4</v>
      </c>
      <c r="K1" t="n">
        <v>5</v>
      </c>
      <c r="L1" t="n">
        <v>6</v>
      </c>
      <c r="M1" t="n">
        <v>7</v>
      </c>
      <c r="N1" t="n">
        <v>8</v>
      </c>
      <c r="O1" t="n">
        <v>9</v>
      </c>
      <c r="P1" t="n">
        <v>10</v>
      </c>
      <c r="Q1" t="n">
        <v>11</v>
      </c>
      <c r="R1" t="n">
        <v>12</v>
      </c>
      <c r="S1" t="n">
        <v>13</v>
      </c>
      <c r="T1" t="n">
        <v>14</v>
      </c>
    </row>
    <row r="2">
      <c r="A2" t="n">
        <v>687104</v>
      </c>
      <c r="B2" t="inlineStr">
        <is>
          <t>CDM 10</t>
        </is>
      </c>
      <c r="C2" t="inlineStr">
        <is>
          <t>CDM Base</t>
        </is>
      </c>
      <c r="D2" t="inlineStr">
        <is>
          <t>Baddi</t>
        </is>
      </c>
      <c r="E2" t="inlineStr">
        <is>
          <t>E2</t>
        </is>
      </c>
      <c r="F2" t="n">
        <v>1</v>
      </c>
      <c r="G2" t="n">
        <v>2</v>
      </c>
      <c r="H2" t="n">
        <v>3</v>
      </c>
      <c r="I2" t="n">
        <v>4</v>
      </c>
      <c r="J2" t="n">
        <v>5</v>
      </c>
      <c r="K2" t="n">
        <v>1</v>
      </c>
      <c r="L2" t="n">
        <v>2</v>
      </c>
      <c r="M2" t="n">
        <v>3</v>
      </c>
      <c r="N2" t="n">
        <v>4</v>
      </c>
      <c r="O2" t="n">
        <v>5</v>
      </c>
      <c r="P2" t="n">
        <v>1</v>
      </c>
      <c r="Q2" t="n">
        <v>2</v>
      </c>
      <c r="R2" t="n">
        <v>3</v>
      </c>
      <c r="S2" t="n">
        <v>4</v>
      </c>
      <c r="T2" t="n">
        <v>5</v>
      </c>
    </row>
    <row r="3">
      <c r="A3" t="n">
        <v>686844</v>
      </c>
      <c r="B3" t="inlineStr">
        <is>
          <t>CDM RA Small</t>
        </is>
      </c>
      <c r="C3" t="inlineStr">
        <is>
          <t>CDM Variants</t>
        </is>
      </c>
      <c r="D3" t="inlineStr">
        <is>
          <t>Baddi</t>
        </is>
      </c>
      <c r="E3" t="inlineStr">
        <is>
          <t>E4</t>
        </is>
      </c>
      <c r="F3" t="n">
        <v>2</v>
      </c>
      <c r="G3" t="n">
        <v>3</v>
      </c>
      <c r="H3" t="n">
        <v>4</v>
      </c>
      <c r="I3" t="n">
        <v>5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T3" t="n">
        <v>1</v>
      </c>
    </row>
    <row r="4">
      <c r="A4" t="n">
        <v>687127</v>
      </c>
      <c r="B4" t="inlineStr">
        <is>
          <t>Silk RA Large</t>
        </is>
      </c>
      <c r="C4" t="inlineStr">
        <is>
          <t>Silk</t>
        </is>
      </c>
      <c r="D4" t="inlineStr">
        <is>
          <t>Baddi</t>
        </is>
      </c>
      <c r="E4" t="inlineStr">
        <is>
          <t>E4</t>
        </is>
      </c>
      <c r="F4" t="n">
        <v>3</v>
      </c>
      <c r="G4" t="n">
        <v>4</v>
      </c>
      <c r="H4" t="n">
        <v>5</v>
      </c>
      <c r="I4" t="n">
        <v>1</v>
      </c>
      <c r="J4" t="n">
        <v>2</v>
      </c>
      <c r="K4" t="n">
        <v>3</v>
      </c>
      <c r="L4" t="n">
        <v>4</v>
      </c>
      <c r="M4" t="n">
        <v>5</v>
      </c>
      <c r="N4" t="n">
        <v>1</v>
      </c>
      <c r="O4" t="n">
        <v>2</v>
      </c>
      <c r="P4" t="n">
        <v>3</v>
      </c>
      <c r="Q4" t="n">
        <v>4</v>
      </c>
      <c r="R4" t="n">
        <v>5</v>
      </c>
      <c r="S4" t="n">
        <v>1</v>
      </c>
      <c r="T4" t="n">
        <v>2</v>
      </c>
    </row>
    <row r="5">
      <c r="A5" t="n">
        <v>687163</v>
      </c>
      <c r="B5" t="inlineStr">
        <is>
          <t>CDM F&amp;N Small</t>
        </is>
      </c>
      <c r="C5" t="inlineStr">
        <is>
          <t>CDM Variants</t>
        </is>
      </c>
      <c r="D5" t="inlineStr">
        <is>
          <t>Baddi</t>
        </is>
      </c>
      <c r="E5" t="inlineStr">
        <is>
          <t>E4</t>
        </is>
      </c>
      <c r="F5" t="n">
        <v>4</v>
      </c>
      <c r="G5" t="n">
        <v>5</v>
      </c>
      <c r="H5" t="n">
        <v>1</v>
      </c>
      <c r="I5" t="n">
        <v>2</v>
      </c>
      <c r="J5" t="n">
        <v>3</v>
      </c>
      <c r="K5" t="n">
        <v>4</v>
      </c>
      <c r="L5" t="n">
        <v>5</v>
      </c>
      <c r="M5" t="n">
        <v>1</v>
      </c>
      <c r="N5" t="n">
        <v>2</v>
      </c>
      <c r="O5" t="n">
        <v>3</v>
      </c>
      <c r="P5" t="n">
        <v>4</v>
      </c>
      <c r="Q5" t="n">
        <v>5</v>
      </c>
      <c r="R5" t="n">
        <v>1</v>
      </c>
      <c r="S5" t="n">
        <v>2</v>
      </c>
      <c r="T5" t="n">
        <v>3</v>
      </c>
    </row>
    <row r="6">
      <c r="A6" t="n">
        <v>4071291</v>
      </c>
      <c r="B6" t="inlineStr">
        <is>
          <t>Silk Hazelnut Large</t>
        </is>
      </c>
      <c r="C6" t="inlineStr">
        <is>
          <t>Silk</t>
        </is>
      </c>
      <c r="D6" t="inlineStr">
        <is>
          <t>Baddi</t>
        </is>
      </c>
      <c r="E6" t="inlineStr">
        <is>
          <t>E4</t>
        </is>
      </c>
      <c r="F6" t="n">
        <v>5</v>
      </c>
      <c r="G6" t="n">
        <v>1</v>
      </c>
      <c r="H6" t="n">
        <v>2</v>
      </c>
      <c r="I6" t="n">
        <v>3</v>
      </c>
      <c r="J6" t="n">
        <v>4</v>
      </c>
      <c r="K6" t="n">
        <v>5</v>
      </c>
      <c r="L6" t="n">
        <v>1</v>
      </c>
      <c r="M6" t="n">
        <v>2</v>
      </c>
      <c r="N6" t="n">
        <v>3</v>
      </c>
      <c r="O6" t="n">
        <v>4</v>
      </c>
      <c r="P6" t="n">
        <v>5</v>
      </c>
      <c r="Q6" t="n">
        <v>1</v>
      </c>
      <c r="R6" t="n">
        <v>2</v>
      </c>
      <c r="S6" t="n">
        <v>3</v>
      </c>
      <c r="T6" t="n">
        <v>4</v>
      </c>
    </row>
    <row r="7">
      <c r="A7" t="n">
        <v>4305240</v>
      </c>
      <c r="B7" t="inlineStr">
        <is>
          <t>Silk Ganache Large</t>
        </is>
      </c>
      <c r="C7" t="inlineStr">
        <is>
          <t>Silk</t>
        </is>
      </c>
      <c r="D7" t="inlineStr">
        <is>
          <t>Baddi</t>
        </is>
      </c>
      <c r="E7" t="inlineStr">
        <is>
          <t>E4</t>
        </is>
      </c>
      <c r="F7" t="n">
        <v>1</v>
      </c>
      <c r="G7" t="n">
        <v>2</v>
      </c>
      <c r="H7" t="n">
        <v>3</v>
      </c>
      <c r="I7" t="n">
        <v>4</v>
      </c>
      <c r="J7" t="n">
        <v>5</v>
      </c>
      <c r="K7" t="n">
        <v>1</v>
      </c>
      <c r="L7" t="n">
        <v>2</v>
      </c>
      <c r="M7" t="n">
        <v>3</v>
      </c>
      <c r="N7" t="n">
        <v>4</v>
      </c>
      <c r="O7" t="n">
        <v>5</v>
      </c>
      <c r="P7" t="n">
        <v>1</v>
      </c>
      <c r="Q7" t="n">
        <v>2</v>
      </c>
      <c r="R7" t="n">
        <v>3</v>
      </c>
      <c r="S7" t="n">
        <v>4</v>
      </c>
      <c r="T7" t="n">
        <v>5</v>
      </c>
    </row>
    <row r="8">
      <c r="A8" t="n">
        <v>4325659</v>
      </c>
      <c r="B8" t="inlineStr">
        <is>
          <t>CDM 40 Nepal</t>
        </is>
      </c>
      <c r="C8" t="inlineStr">
        <is>
          <t>CDM Base</t>
        </is>
      </c>
      <c r="D8" t="inlineStr">
        <is>
          <t>Baddi</t>
        </is>
      </c>
      <c r="E8" t="inlineStr">
        <is>
          <t>E4</t>
        </is>
      </c>
      <c r="F8" t="n">
        <v>2</v>
      </c>
      <c r="G8" t="n">
        <v>3</v>
      </c>
      <c r="H8" t="n">
        <v>4</v>
      </c>
      <c r="I8" t="n">
        <v>5</v>
      </c>
      <c r="J8" t="n">
        <v>1</v>
      </c>
      <c r="K8" t="n">
        <v>2</v>
      </c>
      <c r="L8" t="n">
        <v>3</v>
      </c>
      <c r="M8" t="n">
        <v>4</v>
      </c>
      <c r="N8" t="n">
        <v>5</v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T8" t="n">
        <v>1</v>
      </c>
    </row>
    <row r="9">
      <c r="A9" t="n">
        <v>4326233</v>
      </c>
      <c r="B9" t="inlineStr">
        <is>
          <t>Silk F&amp;N Large Nepal</t>
        </is>
      </c>
      <c r="C9" t="inlineStr">
        <is>
          <t>Silk</t>
        </is>
      </c>
      <c r="D9" t="inlineStr">
        <is>
          <t>Baddi</t>
        </is>
      </c>
      <c r="E9" t="inlineStr">
        <is>
          <t>E4</t>
        </is>
      </c>
      <c r="F9" t="n">
        <v>3</v>
      </c>
      <c r="G9" t="n">
        <v>4</v>
      </c>
      <c r="H9" t="n">
        <v>5</v>
      </c>
      <c r="I9" t="n">
        <v>1</v>
      </c>
      <c r="J9" t="n">
        <v>2</v>
      </c>
      <c r="K9" t="n">
        <v>3</v>
      </c>
      <c r="L9" t="n">
        <v>4</v>
      </c>
      <c r="M9" t="n">
        <v>5</v>
      </c>
      <c r="N9" t="n">
        <v>1</v>
      </c>
      <c r="O9" t="n">
        <v>2</v>
      </c>
      <c r="P9" t="n">
        <v>3</v>
      </c>
      <c r="Q9" t="n">
        <v>4</v>
      </c>
      <c r="R9" t="n">
        <v>5</v>
      </c>
      <c r="S9" t="n">
        <v>1</v>
      </c>
      <c r="T9" t="n">
        <v>2</v>
      </c>
    </row>
    <row r="10">
      <c r="A10" t="n">
        <v>687104</v>
      </c>
      <c r="B10" t="inlineStr">
        <is>
          <t>CDM 10</t>
        </is>
      </c>
      <c r="C10" t="inlineStr">
        <is>
          <t>CDM Base</t>
        </is>
      </c>
      <c r="D10" t="inlineStr">
        <is>
          <t>DPC Baddi</t>
        </is>
      </c>
      <c r="E10" t="inlineStr">
        <is>
          <t>DPC-Choc</t>
        </is>
      </c>
      <c r="F10" t="n">
        <v>4</v>
      </c>
      <c r="G10" t="n">
        <v>5</v>
      </c>
      <c r="H10" t="n">
        <v>1</v>
      </c>
      <c r="I10" t="n">
        <v>2</v>
      </c>
      <c r="J10" t="n">
        <v>3</v>
      </c>
      <c r="K10" t="n">
        <v>4</v>
      </c>
      <c r="L10" t="n">
        <v>5</v>
      </c>
      <c r="M10" t="n">
        <v>1</v>
      </c>
      <c r="N10" t="n">
        <v>2</v>
      </c>
      <c r="O10" t="n">
        <v>3</v>
      </c>
      <c r="P10" t="n">
        <v>4</v>
      </c>
      <c r="Q10" t="n">
        <v>5</v>
      </c>
      <c r="R10" t="n">
        <v>1</v>
      </c>
      <c r="S10" t="n">
        <v>2</v>
      </c>
      <c r="T10" t="n">
        <v>3</v>
      </c>
    </row>
    <row r="11">
      <c r="A11" t="n">
        <v>4327737</v>
      </c>
      <c r="B11" t="inlineStr">
        <is>
          <t>Caramilk large</t>
        </is>
      </c>
      <c r="C11" t="inlineStr">
        <is>
          <t>CDM Variants</t>
        </is>
      </c>
      <c r="D11" t="inlineStr">
        <is>
          <t>DPC Baddi</t>
        </is>
      </c>
      <c r="E11" t="inlineStr">
        <is>
          <t>DPC-Choc</t>
        </is>
      </c>
      <c r="F11" t="n">
        <v>5</v>
      </c>
      <c r="G11" t="n">
        <v>1</v>
      </c>
      <c r="H11" t="n">
        <v>2</v>
      </c>
      <c r="I11" t="n">
        <v>3</v>
      </c>
      <c r="J11" t="n">
        <v>4</v>
      </c>
      <c r="K11" t="n">
        <v>5</v>
      </c>
      <c r="L11" t="n">
        <v>1</v>
      </c>
      <c r="M11" t="n">
        <v>2</v>
      </c>
      <c r="N11" t="n">
        <v>3</v>
      </c>
      <c r="O11" t="n">
        <v>4</v>
      </c>
      <c r="P11" t="n">
        <v>5</v>
      </c>
      <c r="Q11" t="n">
        <v>1</v>
      </c>
      <c r="R11" t="n">
        <v>2</v>
      </c>
      <c r="S11" t="n">
        <v>3</v>
      </c>
      <c r="T11" t="n">
        <v>4</v>
      </c>
    </row>
    <row r="12">
      <c r="A12" t="n">
        <v>687163</v>
      </c>
      <c r="B12" t="inlineStr">
        <is>
          <t>CDM F&amp;N Small</t>
        </is>
      </c>
      <c r="C12" t="inlineStr">
        <is>
          <t>CDM Variants</t>
        </is>
      </c>
      <c r="D12" t="inlineStr">
        <is>
          <t>Induri</t>
        </is>
      </c>
      <c r="E12" t="inlineStr">
        <is>
          <t>Induri ML</t>
        </is>
      </c>
      <c r="F12" t="n">
        <v>1</v>
      </c>
      <c r="G12" t="n">
        <v>2</v>
      </c>
      <c r="H12" t="n">
        <v>3</v>
      </c>
      <c r="I12" t="n">
        <v>4</v>
      </c>
      <c r="J12" t="n">
        <v>5</v>
      </c>
      <c r="K12" t="n">
        <v>1</v>
      </c>
      <c r="L12" t="n">
        <v>2</v>
      </c>
      <c r="M12" t="n">
        <v>3</v>
      </c>
      <c r="N12" t="n">
        <v>4</v>
      </c>
      <c r="O12" t="n">
        <v>5</v>
      </c>
      <c r="P12" t="n">
        <v>1</v>
      </c>
      <c r="Q12" t="n">
        <v>2</v>
      </c>
      <c r="R12" t="n">
        <v>3</v>
      </c>
      <c r="S12" t="n">
        <v>4</v>
      </c>
      <c r="T12" t="n">
        <v>5</v>
      </c>
    </row>
    <row r="13">
      <c r="A13" t="n">
        <v>4322074</v>
      </c>
      <c r="B13" t="inlineStr">
        <is>
          <t>CDM 20 Bulk</t>
        </is>
      </c>
      <c r="C13" t="inlineStr">
        <is>
          <t>CDM Base</t>
        </is>
      </c>
      <c r="D13" t="inlineStr">
        <is>
          <t>Induri</t>
        </is>
      </c>
      <c r="E13" t="inlineStr">
        <is>
          <t>Induri ML</t>
        </is>
      </c>
      <c r="F13" t="n">
        <v>2</v>
      </c>
      <c r="G13" t="n">
        <v>3</v>
      </c>
      <c r="H13" t="n">
        <v>4</v>
      </c>
      <c r="I13" t="n">
        <v>5</v>
      </c>
      <c r="J13" t="n">
        <v>1</v>
      </c>
      <c r="K13" t="n">
        <v>2</v>
      </c>
      <c r="L13" t="n">
        <v>3</v>
      </c>
      <c r="M13" t="n">
        <v>4</v>
      </c>
      <c r="N13" t="n">
        <v>5</v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T13" t="n">
        <v>1</v>
      </c>
    </row>
    <row r="14">
      <c r="A14" t="n">
        <v>4036582</v>
      </c>
      <c r="B14" t="inlineStr">
        <is>
          <t>Silk Oreo Small</t>
        </is>
      </c>
      <c r="C14" t="inlineStr">
        <is>
          <t>Silk</t>
        </is>
      </c>
      <c r="D14" t="inlineStr">
        <is>
          <t>Induri</t>
        </is>
      </c>
      <c r="E14" t="inlineStr">
        <is>
          <t>Shell</t>
        </is>
      </c>
      <c r="F14" t="n">
        <v>3</v>
      </c>
      <c r="G14" t="n">
        <v>4</v>
      </c>
      <c r="H14" t="n">
        <v>5</v>
      </c>
      <c r="I14" t="n">
        <v>1</v>
      </c>
      <c r="J14" t="n">
        <v>2</v>
      </c>
      <c r="K14" t="n">
        <v>3</v>
      </c>
      <c r="L14" t="n">
        <v>4</v>
      </c>
      <c r="M14" t="n">
        <v>5</v>
      </c>
      <c r="N14" t="n">
        <v>1</v>
      </c>
      <c r="O14" t="n">
        <v>2</v>
      </c>
      <c r="P14" t="n">
        <v>3</v>
      </c>
      <c r="Q14" t="n">
        <v>4</v>
      </c>
      <c r="R14" t="n">
        <v>5</v>
      </c>
      <c r="S14" t="n">
        <v>1</v>
      </c>
      <c r="T14" t="n">
        <v>2</v>
      </c>
    </row>
    <row r="15">
      <c r="A15" t="n">
        <v>4067869</v>
      </c>
      <c r="B15" t="inlineStr">
        <is>
          <t>Silk Oreo Large SEA</t>
        </is>
      </c>
      <c r="C15" t="inlineStr">
        <is>
          <t>Silk</t>
        </is>
      </c>
      <c r="D15" t="inlineStr">
        <is>
          <t>Induri</t>
        </is>
      </c>
      <c r="E15" t="inlineStr">
        <is>
          <t>Shell</t>
        </is>
      </c>
      <c r="F15" t="n">
        <v>4</v>
      </c>
      <c r="G15" t="n">
        <v>5</v>
      </c>
      <c r="H15" t="n">
        <v>1</v>
      </c>
      <c r="I15" t="n">
        <v>2</v>
      </c>
      <c r="J15" t="n">
        <v>3</v>
      </c>
      <c r="K15" t="n">
        <v>4</v>
      </c>
      <c r="L15" t="n">
        <v>5</v>
      </c>
      <c r="M15" t="n">
        <v>1</v>
      </c>
      <c r="N15" t="n">
        <v>2</v>
      </c>
      <c r="O15" t="n">
        <v>3</v>
      </c>
      <c r="P15" t="n">
        <v>4</v>
      </c>
      <c r="Q15" t="n">
        <v>5</v>
      </c>
      <c r="R15" t="n">
        <v>1</v>
      </c>
      <c r="S15" t="n">
        <v>2</v>
      </c>
      <c r="T15" t="n">
        <v>3</v>
      </c>
    </row>
    <row r="16">
      <c r="A16" t="n">
        <v>4254961</v>
      </c>
      <c r="B16" t="inlineStr">
        <is>
          <t>Silk Mousse Large</t>
        </is>
      </c>
      <c r="C16" t="inlineStr">
        <is>
          <t>Silk</t>
        </is>
      </c>
      <c r="D16" t="inlineStr">
        <is>
          <t>Induri</t>
        </is>
      </c>
      <c r="E16" t="inlineStr">
        <is>
          <t>Shell</t>
        </is>
      </c>
      <c r="F16" t="n">
        <v>5</v>
      </c>
      <c r="G16" t="n">
        <v>1</v>
      </c>
      <c r="H16" t="n">
        <v>2</v>
      </c>
      <c r="I16" t="n">
        <v>3</v>
      </c>
      <c r="J16" t="n">
        <v>4</v>
      </c>
      <c r="K16" t="n">
        <v>5</v>
      </c>
      <c r="L16" t="n">
        <v>1</v>
      </c>
      <c r="M16" t="n">
        <v>2</v>
      </c>
      <c r="N16" t="n">
        <v>3</v>
      </c>
      <c r="O16" t="n">
        <v>4</v>
      </c>
      <c r="P16" t="n">
        <v>5</v>
      </c>
      <c r="Q16" t="n">
        <v>1</v>
      </c>
      <c r="R16" t="n">
        <v>2</v>
      </c>
      <c r="S16" t="n">
        <v>3</v>
      </c>
      <c r="T16" t="n">
        <v>4</v>
      </c>
    </row>
    <row r="17">
      <c r="A17" t="n">
        <v>4321714</v>
      </c>
      <c r="B17" t="inlineStr">
        <is>
          <t>Silk Mousse Small SEA</t>
        </is>
      </c>
      <c r="C17" t="inlineStr">
        <is>
          <t>Silk</t>
        </is>
      </c>
      <c r="D17" t="inlineStr">
        <is>
          <t>Induri</t>
        </is>
      </c>
      <c r="E17" t="inlineStr">
        <is>
          <t>Shell</t>
        </is>
      </c>
      <c r="F17" t="n">
        <v>1</v>
      </c>
      <c r="G17" t="n">
        <v>2</v>
      </c>
      <c r="H17" t="n">
        <v>3</v>
      </c>
      <c r="I17" t="n">
        <v>4</v>
      </c>
      <c r="J17" t="n">
        <v>5</v>
      </c>
      <c r="K17" t="n">
        <v>1</v>
      </c>
      <c r="L17" t="n">
        <v>2</v>
      </c>
      <c r="M17" t="n">
        <v>3</v>
      </c>
      <c r="N17" t="n">
        <v>4</v>
      </c>
      <c r="O17" t="n">
        <v>5</v>
      </c>
      <c r="P17" t="n">
        <v>1</v>
      </c>
      <c r="Q17" t="n">
        <v>2</v>
      </c>
      <c r="R17" t="n">
        <v>3</v>
      </c>
      <c r="S17" t="n">
        <v>4</v>
      </c>
      <c r="T17" t="n">
        <v>5</v>
      </c>
    </row>
    <row r="18">
      <c r="A18" t="n">
        <v>4326230</v>
      </c>
      <c r="B18" t="inlineStr">
        <is>
          <t>Silk Oreo Large Nepal</t>
        </is>
      </c>
      <c r="C18" t="inlineStr">
        <is>
          <t>Silk</t>
        </is>
      </c>
      <c r="D18" t="inlineStr">
        <is>
          <t>Induri</t>
        </is>
      </c>
      <c r="E18" t="inlineStr">
        <is>
          <t>Shell</t>
        </is>
      </c>
      <c r="F18" t="n">
        <v>2</v>
      </c>
      <c r="G18" t="n">
        <v>3</v>
      </c>
      <c r="H18" t="n">
        <v>4</v>
      </c>
      <c r="I18" t="n">
        <v>5</v>
      </c>
      <c r="J18" t="n">
        <v>1</v>
      </c>
      <c r="K18" t="n">
        <v>2</v>
      </c>
      <c r="L18" t="n">
        <v>3</v>
      </c>
      <c r="M18" t="n">
        <v>4</v>
      </c>
      <c r="N18" t="n">
        <v>5</v>
      </c>
      <c r="O18" t="n">
        <v>1</v>
      </c>
      <c r="P18" t="n">
        <v>2</v>
      </c>
      <c r="Q18" t="n">
        <v>3</v>
      </c>
      <c r="R18" t="n">
        <v>4</v>
      </c>
      <c r="S18" t="n">
        <v>5</v>
      </c>
      <c r="T18" t="n">
        <v>1</v>
      </c>
    </row>
    <row r="19">
      <c r="A19" t="n">
        <v>1000007</v>
      </c>
      <c r="B19" t="inlineStr">
        <is>
          <t>Mignonettes</t>
        </is>
      </c>
      <c r="C19" t="inlineStr">
        <is>
          <t>Silk</t>
        </is>
      </c>
      <c r="D19" t="inlineStr">
        <is>
          <t>Makson B</t>
        </is>
      </c>
      <c r="E19" t="inlineStr">
        <is>
          <t>Makson B</t>
        </is>
      </c>
      <c r="F19" t="n">
        <v>3</v>
      </c>
      <c r="G19" t="n">
        <v>4</v>
      </c>
      <c r="H19" t="n">
        <v>5</v>
      </c>
      <c r="I19" t="n">
        <v>1</v>
      </c>
      <c r="J19" t="n">
        <v>2</v>
      </c>
      <c r="K19" t="n">
        <v>3</v>
      </c>
      <c r="L19" t="n">
        <v>4</v>
      </c>
      <c r="M19" t="n">
        <v>5</v>
      </c>
      <c r="N19" t="n">
        <v>1</v>
      </c>
      <c r="O19" t="n">
        <v>2</v>
      </c>
      <c r="P19" t="n">
        <v>3</v>
      </c>
      <c r="Q19" t="n">
        <v>4</v>
      </c>
      <c r="R19" t="n">
        <v>5</v>
      </c>
      <c r="S19" t="n">
        <v>1</v>
      </c>
      <c r="T19" t="n">
        <v>2</v>
      </c>
    </row>
    <row r="20">
      <c r="A20" t="n">
        <v>4313507</v>
      </c>
      <c r="B20" t="inlineStr">
        <is>
          <t>CDM HT 200</t>
        </is>
      </c>
      <c r="C20" t="inlineStr">
        <is>
          <t>CDM Base</t>
        </is>
      </c>
      <c r="D20" t="inlineStr">
        <is>
          <t>Makson B</t>
        </is>
      </c>
      <c r="E20" t="inlineStr">
        <is>
          <t>Makson B</t>
        </is>
      </c>
      <c r="F20" t="n">
        <v>4</v>
      </c>
      <c r="G20" t="n">
        <v>5</v>
      </c>
      <c r="H20" t="n">
        <v>1</v>
      </c>
      <c r="I20" t="n">
        <v>2</v>
      </c>
      <c r="J20" t="n">
        <v>3</v>
      </c>
      <c r="K20" t="n">
        <v>4</v>
      </c>
      <c r="L20" t="n">
        <v>5</v>
      </c>
      <c r="M20" t="n">
        <v>1</v>
      </c>
      <c r="N20" t="n">
        <v>2</v>
      </c>
      <c r="O20" t="n">
        <v>3</v>
      </c>
      <c r="P20" t="n">
        <v>4</v>
      </c>
      <c r="Q20" t="n">
        <v>5</v>
      </c>
      <c r="R20" t="n">
        <v>1</v>
      </c>
      <c r="S20" t="n">
        <v>2</v>
      </c>
      <c r="T20" t="n">
        <v>3</v>
      </c>
    </row>
    <row r="21">
      <c r="A21" t="n">
        <v>4257015</v>
      </c>
      <c r="B21" t="inlineStr">
        <is>
          <t>Lumos</t>
        </is>
      </c>
      <c r="C21" t="inlineStr">
        <is>
          <t>Temp+ BVL</t>
        </is>
      </c>
      <c r="D21" t="inlineStr">
        <is>
          <t>Makson S</t>
        </is>
      </c>
      <c r="E21" t="inlineStr">
        <is>
          <t>Makson S</t>
        </is>
      </c>
      <c r="F21" t="n">
        <v>5</v>
      </c>
      <c r="G21" t="n">
        <v>1</v>
      </c>
      <c r="H21" t="n">
        <v>2</v>
      </c>
      <c r="I21" t="n">
        <v>3</v>
      </c>
      <c r="J21" t="n">
        <v>4</v>
      </c>
      <c r="K21" t="n">
        <v>5</v>
      </c>
      <c r="L21" t="n">
        <v>1</v>
      </c>
      <c r="M21" t="n">
        <v>2</v>
      </c>
      <c r="N21" t="n">
        <v>3</v>
      </c>
      <c r="O21" t="n">
        <v>4</v>
      </c>
      <c r="P21" t="n">
        <v>5</v>
      </c>
      <c r="Q21" t="n">
        <v>1</v>
      </c>
      <c r="R21" t="n">
        <v>2</v>
      </c>
      <c r="S21" t="n">
        <v>3</v>
      </c>
      <c r="T21" t="n">
        <v>4</v>
      </c>
    </row>
    <row r="22">
      <c r="A22" t="n">
        <v>4257018</v>
      </c>
      <c r="B22" t="inlineStr">
        <is>
          <t>Temptation AT</t>
        </is>
      </c>
      <c r="C22" t="inlineStr">
        <is>
          <t>Temp+ BVL</t>
        </is>
      </c>
      <c r="D22" t="inlineStr">
        <is>
          <t>Makson S</t>
        </is>
      </c>
      <c r="E22" t="inlineStr">
        <is>
          <t>Makson S</t>
        </is>
      </c>
      <c r="F22" t="n">
        <v>1</v>
      </c>
      <c r="G22" t="n">
        <v>2</v>
      </c>
      <c r="H22" t="n">
        <v>3</v>
      </c>
      <c r="I22" t="n">
        <v>4</v>
      </c>
      <c r="J22" t="n">
        <v>5</v>
      </c>
      <c r="K22" t="n">
        <v>1</v>
      </c>
      <c r="L22" t="n">
        <v>2</v>
      </c>
      <c r="M22" t="n">
        <v>3</v>
      </c>
      <c r="N22" t="n">
        <v>4</v>
      </c>
      <c r="O22" t="n">
        <v>5</v>
      </c>
      <c r="P22" t="n">
        <v>1</v>
      </c>
      <c r="Q22" t="n">
        <v>2</v>
      </c>
      <c r="R22" t="n">
        <v>3</v>
      </c>
      <c r="S22" t="n">
        <v>4</v>
      </c>
      <c r="T22" t="n">
        <v>5</v>
      </c>
    </row>
    <row r="23">
      <c r="A23" t="n">
        <v>4278918</v>
      </c>
      <c r="B23" t="inlineStr">
        <is>
          <t>BVL RR</t>
        </is>
      </c>
      <c r="C23" t="inlineStr">
        <is>
          <t>Temp+ BVL</t>
        </is>
      </c>
      <c r="D23" t="inlineStr">
        <is>
          <t>Makson S</t>
        </is>
      </c>
      <c r="E23" t="inlineStr">
        <is>
          <t>Makson S</t>
        </is>
      </c>
      <c r="F23" t="n">
        <v>2</v>
      </c>
      <c r="G23" t="n">
        <v>3</v>
      </c>
      <c r="H23" t="n">
        <v>4</v>
      </c>
      <c r="I23" t="n">
        <v>5</v>
      </c>
      <c r="J23" t="n">
        <v>1</v>
      </c>
      <c r="K23" t="n">
        <v>2</v>
      </c>
      <c r="L23" t="n">
        <v>3</v>
      </c>
      <c r="M23" t="n">
        <v>4</v>
      </c>
      <c r="N23" t="n">
        <v>5</v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T23" t="n">
        <v>1</v>
      </c>
    </row>
    <row r="24">
      <c r="A24" t="n">
        <v>4326450</v>
      </c>
      <c r="B24" t="inlineStr">
        <is>
          <t>Rich Cocoa Large Nepal</t>
        </is>
      </c>
      <c r="C24" t="inlineStr">
        <is>
          <t>Temp+ BVL</t>
        </is>
      </c>
      <c r="D24" t="inlineStr">
        <is>
          <t>Makson S</t>
        </is>
      </c>
      <c r="E24" t="inlineStr">
        <is>
          <t>Makson S</t>
        </is>
      </c>
      <c r="F24" t="n">
        <v>3</v>
      </c>
      <c r="G24" t="n">
        <v>4</v>
      </c>
      <c r="H24" t="n">
        <v>5</v>
      </c>
      <c r="I24" t="n">
        <v>1</v>
      </c>
      <c r="J24" t="n">
        <v>2</v>
      </c>
      <c r="K24" t="n">
        <v>3</v>
      </c>
      <c r="L24" t="n">
        <v>4</v>
      </c>
      <c r="M24" t="n">
        <v>5</v>
      </c>
      <c r="N24" t="n">
        <v>1</v>
      </c>
      <c r="O24" t="n">
        <v>2</v>
      </c>
      <c r="P24" t="n">
        <v>3</v>
      </c>
      <c r="Q24" t="n">
        <v>4</v>
      </c>
      <c r="R24" t="n">
        <v>5</v>
      </c>
      <c r="S24" t="n">
        <v>1</v>
      </c>
      <c r="T24" t="n">
        <v>2</v>
      </c>
    </row>
    <row r="25">
      <c r="A25" t="n">
        <v>4304021</v>
      </c>
      <c r="B25" t="inlineStr">
        <is>
          <t>Edge Assorted 18u</t>
        </is>
      </c>
      <c r="C25" t="inlineStr">
        <is>
          <t>Edge</t>
        </is>
      </c>
      <c r="D25" t="inlineStr">
        <is>
          <t>Makson S</t>
        </is>
      </c>
      <c r="E25" t="inlineStr">
        <is>
          <t>Makson S - EDGEMILK</t>
        </is>
      </c>
      <c r="F25" t="n">
        <v>4</v>
      </c>
      <c r="G25" t="n">
        <v>5</v>
      </c>
      <c r="H25" t="n">
        <v>1</v>
      </c>
      <c r="I25" t="n">
        <v>2</v>
      </c>
      <c r="J25" t="n">
        <v>3</v>
      </c>
      <c r="K25" t="n">
        <v>4</v>
      </c>
      <c r="L25" t="n">
        <v>5</v>
      </c>
      <c r="M25" t="n">
        <v>1</v>
      </c>
      <c r="N25" t="n">
        <v>2</v>
      </c>
      <c r="O25" t="n">
        <v>3</v>
      </c>
      <c r="P25" t="n">
        <v>4</v>
      </c>
      <c r="Q25" t="n">
        <v>5</v>
      </c>
      <c r="R25" t="n">
        <v>1</v>
      </c>
      <c r="S25" t="n">
        <v>2</v>
      </c>
      <c r="T25" t="n">
        <v>3</v>
      </c>
    </row>
    <row r="26">
      <c r="A26" t="n">
        <v>4304030</v>
      </c>
      <c r="B26" t="inlineStr">
        <is>
          <t>Edge Bronwie 10 u</t>
        </is>
      </c>
      <c r="C26" t="inlineStr">
        <is>
          <t>Edge</t>
        </is>
      </c>
      <c r="D26" t="inlineStr">
        <is>
          <t>Makson S</t>
        </is>
      </c>
      <c r="E26" t="inlineStr">
        <is>
          <t>Makson S - EDGEMILK</t>
        </is>
      </c>
      <c r="F26" t="n">
        <v>5</v>
      </c>
      <c r="G26" t="n">
        <v>1</v>
      </c>
      <c r="H26" t="n">
        <v>2</v>
      </c>
      <c r="I26" t="n">
        <v>3</v>
      </c>
      <c r="J26" t="n">
        <v>4</v>
      </c>
      <c r="K26" t="n">
        <v>5</v>
      </c>
      <c r="L26" t="n">
        <v>1</v>
      </c>
      <c r="M26" t="n">
        <v>2</v>
      </c>
      <c r="N26" t="n">
        <v>3</v>
      </c>
      <c r="O26" t="n">
        <v>4</v>
      </c>
      <c r="P26" t="n">
        <v>5</v>
      </c>
      <c r="Q26" t="n">
        <v>1</v>
      </c>
      <c r="R26" t="n">
        <v>2</v>
      </c>
      <c r="S26" t="n">
        <v>3</v>
      </c>
      <c r="T26" t="n">
        <v>4</v>
      </c>
    </row>
    <row r="27">
      <c r="A27" t="n">
        <v>4324358</v>
      </c>
      <c r="B27" t="inlineStr">
        <is>
          <t>CDM Milkinis Small</t>
        </is>
      </c>
      <c r="C27" t="inlineStr">
        <is>
          <t>CDM Variants</t>
        </is>
      </c>
      <c r="D27" t="inlineStr">
        <is>
          <t>Makson S</t>
        </is>
      </c>
      <c r="E27" t="inlineStr">
        <is>
          <t>Makson S - EDGEMILK</t>
        </is>
      </c>
      <c r="F27" t="n">
        <v>1</v>
      </c>
      <c r="G27" t="n">
        <v>2</v>
      </c>
      <c r="H27" t="n">
        <v>3</v>
      </c>
      <c r="I27" t="n">
        <v>4</v>
      </c>
      <c r="J27" t="n">
        <v>5</v>
      </c>
      <c r="K27" t="n">
        <v>1</v>
      </c>
      <c r="L27" t="n">
        <v>2</v>
      </c>
      <c r="M27" t="n">
        <v>3</v>
      </c>
      <c r="N27" t="n">
        <v>4</v>
      </c>
      <c r="O27" t="n">
        <v>5</v>
      </c>
      <c r="P27" t="n">
        <v>1</v>
      </c>
      <c r="Q27" t="n">
        <v>2</v>
      </c>
      <c r="R27" t="n">
        <v>3</v>
      </c>
      <c r="S27" t="n">
        <v>4</v>
      </c>
      <c r="T27" t="n">
        <v>5</v>
      </c>
    </row>
    <row r="28">
      <c r="A28" t="n">
        <v>687104</v>
      </c>
      <c r="B28" t="inlineStr">
        <is>
          <t>CDM 10</t>
        </is>
      </c>
      <c r="C28" t="inlineStr">
        <is>
          <t>CDM Base</t>
        </is>
      </c>
      <c r="D28" t="inlineStr">
        <is>
          <t>Sricity</t>
        </is>
      </c>
      <c r="E28" t="inlineStr">
        <is>
          <t>11K</t>
        </is>
      </c>
      <c r="F28" t="n">
        <v>2</v>
      </c>
      <c r="G28" t="n">
        <v>3</v>
      </c>
      <c r="H28" t="n">
        <v>4</v>
      </c>
      <c r="I28" t="n">
        <v>5</v>
      </c>
      <c r="J28" t="n">
        <v>1</v>
      </c>
      <c r="K28" t="n">
        <v>2</v>
      </c>
      <c r="L28" t="n">
        <v>3</v>
      </c>
      <c r="M28" t="n">
        <v>4</v>
      </c>
      <c r="N28" t="n">
        <v>5</v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T28" t="n">
        <v>1</v>
      </c>
    </row>
    <row r="29">
      <c r="A29" t="n">
        <v>4325407</v>
      </c>
      <c r="B29" t="inlineStr">
        <is>
          <t>CDM 10 Nepal</t>
        </is>
      </c>
      <c r="C29" t="inlineStr">
        <is>
          <t>CDM Base</t>
        </is>
      </c>
      <c r="D29" t="inlineStr">
        <is>
          <t>Sricity</t>
        </is>
      </c>
      <c r="E29" t="inlineStr">
        <is>
          <t>11K</t>
        </is>
      </c>
      <c r="F29" t="n">
        <v>3</v>
      </c>
      <c r="G29" t="n">
        <v>4</v>
      </c>
      <c r="H29" t="n">
        <v>5</v>
      </c>
      <c r="I29" t="n">
        <v>1</v>
      </c>
      <c r="J29" t="n">
        <v>2</v>
      </c>
      <c r="K29" t="n">
        <v>3</v>
      </c>
      <c r="L29" t="n">
        <v>4</v>
      </c>
      <c r="M29" t="n">
        <v>5</v>
      </c>
      <c r="N29" t="n">
        <v>1</v>
      </c>
      <c r="O29" t="n">
        <v>2</v>
      </c>
      <c r="P29" t="n">
        <v>3</v>
      </c>
      <c r="Q29" t="n">
        <v>4</v>
      </c>
      <c r="R29" t="n">
        <v>5</v>
      </c>
      <c r="S29" t="n">
        <v>1</v>
      </c>
      <c r="T29" t="n">
        <v>2</v>
      </c>
    </row>
    <row r="30">
      <c r="A30" t="n">
        <v>688824</v>
      </c>
      <c r="B30" t="inlineStr">
        <is>
          <t>CDM 5</t>
        </is>
      </c>
      <c r="C30" t="inlineStr">
        <is>
          <t>CDM Base</t>
        </is>
      </c>
      <c r="D30" t="inlineStr">
        <is>
          <t>Sricity</t>
        </is>
      </c>
      <c r="E30" t="inlineStr">
        <is>
          <t>16K</t>
        </is>
      </c>
      <c r="F30" t="n">
        <v>4</v>
      </c>
      <c r="G30" t="n">
        <v>5</v>
      </c>
      <c r="H30" t="n">
        <v>1</v>
      </c>
      <c r="I30" t="n">
        <v>2</v>
      </c>
      <c r="J30" t="n">
        <v>3</v>
      </c>
      <c r="K30" t="n">
        <v>4</v>
      </c>
      <c r="L30" t="n">
        <v>5</v>
      </c>
      <c r="M30" t="n">
        <v>1</v>
      </c>
      <c r="N30" t="n">
        <v>2</v>
      </c>
      <c r="O30" t="n">
        <v>3</v>
      </c>
      <c r="P30" t="n">
        <v>4</v>
      </c>
      <c r="Q30" t="n">
        <v>5</v>
      </c>
      <c r="R30" t="n">
        <v>1</v>
      </c>
      <c r="S30" t="n">
        <v>2</v>
      </c>
      <c r="T30" t="n">
        <v>3</v>
      </c>
    </row>
    <row r="31">
      <c r="A31" t="n">
        <v>687118</v>
      </c>
      <c r="B31" t="inlineStr">
        <is>
          <t>CDM F&amp;N Large</t>
        </is>
      </c>
      <c r="C31" t="inlineStr">
        <is>
          <t>CDM Variants</t>
        </is>
      </c>
      <c r="D31" t="inlineStr">
        <is>
          <t>Sricity</t>
        </is>
      </c>
      <c r="E31" t="inlineStr">
        <is>
          <t>LOF</t>
        </is>
      </c>
      <c r="F31" t="n">
        <v>5</v>
      </c>
      <c r="G31" t="n">
        <v>1</v>
      </c>
      <c r="H31" t="n">
        <v>2</v>
      </c>
      <c r="I31" t="n">
        <v>3</v>
      </c>
      <c r="J31" t="n">
        <v>4</v>
      </c>
      <c r="K31" t="n">
        <v>5</v>
      </c>
      <c r="L31" t="n">
        <v>1</v>
      </c>
      <c r="M31" t="n">
        <v>2</v>
      </c>
      <c r="N31" t="n">
        <v>3</v>
      </c>
      <c r="O31" t="n">
        <v>4</v>
      </c>
      <c r="P31" t="n">
        <v>5</v>
      </c>
      <c r="Q31" t="n">
        <v>1</v>
      </c>
      <c r="R31" t="n">
        <v>2</v>
      </c>
      <c r="S31" t="n">
        <v>3</v>
      </c>
      <c r="T31" t="n">
        <v>4</v>
      </c>
    </row>
    <row r="32">
      <c r="A32" t="n">
        <v>4311152</v>
      </c>
      <c r="B32" t="inlineStr">
        <is>
          <t>CDM RA Large</t>
        </is>
      </c>
      <c r="C32" t="inlineStr">
        <is>
          <t>CDM Variants</t>
        </is>
      </c>
      <c r="D32" t="inlineStr">
        <is>
          <t>Sricity</t>
        </is>
      </c>
      <c r="E32" t="inlineStr">
        <is>
          <t>LOF</t>
        </is>
      </c>
      <c r="F32" t="n">
        <v>1</v>
      </c>
      <c r="G32" t="n">
        <v>2</v>
      </c>
      <c r="H32" t="n">
        <v>3</v>
      </c>
      <c r="I32" t="n">
        <v>4</v>
      </c>
      <c r="J32" t="n">
        <v>5</v>
      </c>
      <c r="K32" t="n">
        <v>1</v>
      </c>
      <c r="L32" t="n">
        <v>2</v>
      </c>
      <c r="M32" t="n">
        <v>3</v>
      </c>
      <c r="N32" t="n">
        <v>4</v>
      </c>
      <c r="O32" t="n">
        <v>5</v>
      </c>
      <c r="P32" t="n">
        <v>1</v>
      </c>
      <c r="Q32" t="n">
        <v>2</v>
      </c>
      <c r="R32" t="n">
        <v>3</v>
      </c>
      <c r="S32" t="n">
        <v>4</v>
      </c>
      <c r="T32" t="n">
        <v>5</v>
      </c>
    </row>
    <row r="33">
      <c r="A33" t="n">
        <v>686789</v>
      </c>
      <c r="B33" t="inlineStr">
        <is>
          <t>Silk Plain Small</t>
        </is>
      </c>
      <c r="C33" t="inlineStr">
        <is>
          <t>Silk</t>
        </is>
      </c>
      <c r="D33" t="inlineStr">
        <is>
          <t>Sricity</t>
        </is>
      </c>
      <c r="E33" t="inlineStr">
        <is>
          <t>NML</t>
        </is>
      </c>
      <c r="F33" t="n">
        <v>2</v>
      </c>
      <c r="G33" t="n">
        <v>3</v>
      </c>
      <c r="H33" t="n">
        <v>4</v>
      </c>
      <c r="I33" t="n">
        <v>5</v>
      </c>
      <c r="J33" t="n">
        <v>1</v>
      </c>
      <c r="K33" t="n">
        <v>2</v>
      </c>
      <c r="L33" t="n">
        <v>3</v>
      </c>
      <c r="M33" t="n">
        <v>4</v>
      </c>
      <c r="N33" t="n">
        <v>5</v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T33" t="n">
        <v>1</v>
      </c>
    </row>
    <row r="34">
      <c r="A34" t="n">
        <v>4015896</v>
      </c>
      <c r="B34" t="inlineStr">
        <is>
          <t>Silk Bubbly Small</t>
        </is>
      </c>
      <c r="C34" t="inlineStr">
        <is>
          <t>Silk</t>
        </is>
      </c>
      <c r="D34" t="inlineStr">
        <is>
          <t>Sricity</t>
        </is>
      </c>
      <c r="E34" t="inlineStr">
        <is>
          <t>NML</t>
        </is>
      </c>
      <c r="F34" t="n">
        <v>3</v>
      </c>
      <c r="G34" t="n">
        <v>4</v>
      </c>
      <c r="H34" t="n">
        <v>5</v>
      </c>
      <c r="I34" t="n">
        <v>1</v>
      </c>
      <c r="J34" t="n">
        <v>2</v>
      </c>
      <c r="K34" t="n">
        <v>3</v>
      </c>
      <c r="L34" t="n">
        <v>4</v>
      </c>
      <c r="M34" t="n">
        <v>5</v>
      </c>
      <c r="N34" t="n">
        <v>1</v>
      </c>
      <c r="O34" t="n">
        <v>2</v>
      </c>
      <c r="P34" t="n">
        <v>3</v>
      </c>
      <c r="Q34" t="n">
        <v>4</v>
      </c>
      <c r="R34" t="n">
        <v>5</v>
      </c>
      <c r="S34" t="n">
        <v>1</v>
      </c>
      <c r="T34" t="n">
        <v>2</v>
      </c>
    </row>
    <row r="35">
      <c r="A35" t="n">
        <v>4070832</v>
      </c>
      <c r="B35" t="inlineStr">
        <is>
          <t>Silk Bubbly Small SEA</t>
        </is>
      </c>
      <c r="C35" t="inlineStr">
        <is>
          <t>Silk</t>
        </is>
      </c>
      <c r="D35" t="inlineStr">
        <is>
          <t>Sricity</t>
        </is>
      </c>
      <c r="E35" t="inlineStr">
        <is>
          <t>NML</t>
        </is>
      </c>
      <c r="F35" t="n">
        <v>4</v>
      </c>
      <c r="G35" t="n">
        <v>5</v>
      </c>
      <c r="H35" t="n">
        <v>1</v>
      </c>
      <c r="I35" t="n">
        <v>2</v>
      </c>
      <c r="J35" t="n">
        <v>3</v>
      </c>
      <c r="K35" t="n">
        <v>4</v>
      </c>
      <c r="L35" t="n">
        <v>5</v>
      </c>
      <c r="M35" t="n">
        <v>1</v>
      </c>
      <c r="N35" t="n">
        <v>2</v>
      </c>
      <c r="O35" t="n">
        <v>3</v>
      </c>
      <c r="P35" t="n">
        <v>4</v>
      </c>
      <c r="Q35" t="n">
        <v>5</v>
      </c>
      <c r="R35" t="n">
        <v>1</v>
      </c>
      <c r="S35" t="n">
        <v>2</v>
      </c>
      <c r="T35" t="n">
        <v>3</v>
      </c>
    </row>
    <row r="36">
      <c r="A36" t="n">
        <v>4322074</v>
      </c>
      <c r="B36" t="inlineStr">
        <is>
          <t>CDM 20 Bulk</t>
        </is>
      </c>
      <c r="C36" t="inlineStr">
        <is>
          <t>CDM Base</t>
        </is>
      </c>
      <c r="D36" t="inlineStr">
        <is>
          <t>Sricity</t>
        </is>
      </c>
      <c r="E36" t="inlineStr">
        <is>
          <t>NML</t>
        </is>
      </c>
      <c r="F36" t="n">
        <v>5</v>
      </c>
      <c r="G36" t="n">
        <v>1</v>
      </c>
      <c r="H36" t="n">
        <v>2</v>
      </c>
      <c r="I36" t="n">
        <v>3</v>
      </c>
      <c r="J36" t="n">
        <v>4</v>
      </c>
      <c r="K36" t="n">
        <v>5</v>
      </c>
      <c r="L36" t="n">
        <v>1</v>
      </c>
      <c r="M36" t="n">
        <v>2</v>
      </c>
      <c r="N36" t="n">
        <v>3</v>
      </c>
      <c r="O36" t="n">
        <v>4</v>
      </c>
      <c r="P36" t="n">
        <v>5</v>
      </c>
      <c r="Q36" t="n">
        <v>1</v>
      </c>
      <c r="R36" t="n">
        <v>2</v>
      </c>
      <c r="S36" t="n">
        <v>3</v>
      </c>
      <c r="T36" t="n">
        <v>4</v>
      </c>
    </row>
    <row r="37">
      <c r="A37" t="n">
        <v>4326302</v>
      </c>
      <c r="B37" t="inlineStr">
        <is>
          <t>Silk Bubbly Large Nepal</t>
        </is>
      </c>
      <c r="C37" t="inlineStr">
        <is>
          <t>Silk</t>
        </is>
      </c>
      <c r="D37" t="inlineStr">
        <is>
          <t>Sricity</t>
        </is>
      </c>
      <c r="E37" t="inlineStr">
        <is>
          <t>NML</t>
        </is>
      </c>
      <c r="F37" t="n">
        <v>1</v>
      </c>
      <c r="G37" t="n">
        <v>2</v>
      </c>
      <c r="H37" t="n">
        <v>3</v>
      </c>
      <c r="I37" t="n">
        <v>4</v>
      </c>
      <c r="J37" t="n">
        <v>5</v>
      </c>
      <c r="K37" t="n">
        <v>1</v>
      </c>
      <c r="L37" t="n">
        <v>2</v>
      </c>
      <c r="M37" t="n">
        <v>3</v>
      </c>
      <c r="N37" t="n">
        <v>4</v>
      </c>
      <c r="O37" t="n">
        <v>5</v>
      </c>
      <c r="P37" t="n">
        <v>1</v>
      </c>
      <c r="Q37" t="n">
        <v>2</v>
      </c>
      <c r="R37" t="n">
        <v>3</v>
      </c>
      <c r="S37" t="n">
        <v>4</v>
      </c>
      <c r="T37" t="n">
        <v>5</v>
      </c>
    </row>
    <row r="38">
      <c r="A38" t="n">
        <v>4071295</v>
      </c>
      <c r="B38" t="inlineStr">
        <is>
          <t>Crispello 35</t>
        </is>
      </c>
      <c r="C38" t="inlineStr">
        <is>
          <t>CDM Base</t>
        </is>
      </c>
      <c r="D38" t="inlineStr">
        <is>
          <t>Sricity</t>
        </is>
      </c>
      <c r="E38" t="inlineStr">
        <is>
          <t>UL</t>
        </is>
      </c>
      <c r="F38" t="n">
        <v>2</v>
      </c>
      <c r="G38" t="n">
        <v>3</v>
      </c>
      <c r="H38" t="n">
        <v>4</v>
      </c>
      <c r="I38" t="n">
        <v>5</v>
      </c>
      <c r="J38" t="n">
        <v>1</v>
      </c>
      <c r="K38" t="n">
        <v>2</v>
      </c>
      <c r="L38" t="n">
        <v>3</v>
      </c>
      <c r="M38" t="n">
        <v>4</v>
      </c>
      <c r="N38" t="n">
        <v>5</v>
      </c>
      <c r="O38" t="n">
        <v>1</v>
      </c>
      <c r="P38" t="n">
        <v>2</v>
      </c>
      <c r="Q38" t="n">
        <v>3</v>
      </c>
      <c r="R38" t="n">
        <v>4</v>
      </c>
      <c r="S38" t="n">
        <v>5</v>
      </c>
      <c r="T38" t="n">
        <v>1</v>
      </c>
    </row>
    <row r="39">
      <c r="A39" t="n">
        <v>4313814</v>
      </c>
      <c r="B39" t="inlineStr">
        <is>
          <t>Silk Walnut Brownie Small</t>
        </is>
      </c>
      <c r="C39" t="inlineStr">
        <is>
          <t>Silk</t>
        </is>
      </c>
      <c r="D39" t="inlineStr">
        <is>
          <t>Sricity</t>
        </is>
      </c>
      <c r="E39" t="inlineStr">
        <is>
          <t>UL</t>
        </is>
      </c>
      <c r="F39" t="n">
        <v>3</v>
      </c>
      <c r="G39" t="n">
        <v>4</v>
      </c>
      <c r="H39" t="n">
        <v>5</v>
      </c>
      <c r="I39" t="n">
        <v>1</v>
      </c>
      <c r="J39" t="n">
        <v>2</v>
      </c>
      <c r="K39" t="n">
        <v>3</v>
      </c>
      <c r="L39" t="n">
        <v>4</v>
      </c>
      <c r="M39" t="n">
        <v>5</v>
      </c>
      <c r="N39" t="n">
        <v>1</v>
      </c>
      <c r="O39" t="n">
        <v>2</v>
      </c>
      <c r="P39" t="n">
        <v>3</v>
      </c>
      <c r="Q39" t="n">
        <v>4</v>
      </c>
      <c r="R39" t="n">
        <v>5</v>
      </c>
      <c r="S39" t="n">
        <v>1</v>
      </c>
      <c r="T39" t="n">
        <v>2</v>
      </c>
    </row>
    <row r="40">
      <c r="A40" t="n">
        <v>4331081</v>
      </c>
      <c r="B40" t="inlineStr">
        <is>
          <t>Silk Kunafa</t>
        </is>
      </c>
      <c r="C40" t="inlineStr">
        <is>
          <t>Silk</t>
        </is>
      </c>
      <c r="D40" t="inlineStr">
        <is>
          <t>Sricity</t>
        </is>
      </c>
      <c r="E40" t="inlineStr">
        <is>
          <t>UL</t>
        </is>
      </c>
      <c r="F40" t="n">
        <v>4</v>
      </c>
      <c r="G40" t="n">
        <v>5</v>
      </c>
      <c r="H40" t="n">
        <v>1</v>
      </c>
      <c r="I40" t="n">
        <v>2</v>
      </c>
      <c r="J40" t="n">
        <v>3</v>
      </c>
      <c r="K40" t="n">
        <v>4</v>
      </c>
      <c r="L40" t="n">
        <v>5</v>
      </c>
      <c r="M40" t="n">
        <v>1</v>
      </c>
      <c r="N40" t="n">
        <v>2</v>
      </c>
      <c r="O40" t="n">
        <v>3</v>
      </c>
      <c r="P40" t="n">
        <v>4</v>
      </c>
      <c r="Q40" t="n">
        <v>5</v>
      </c>
      <c r="R40" t="n">
        <v>1</v>
      </c>
      <c r="S40" t="n">
        <v>2</v>
      </c>
      <c r="T4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0"/>
  <sheetViews>
    <sheetView tabSelected="1" workbookViewId="0">
      <selection activeCell="M5" sqref="M5"/>
    </sheetView>
  </sheetViews>
  <sheetFormatPr baseColWidth="8" defaultRowHeight="14.4"/>
  <cols>
    <col width="10.33203125" bestFit="1" customWidth="1" min="8" max="9"/>
  </cols>
  <sheetData>
    <row r="1" ht="15.6" customHeight="1">
      <c r="L1" s="57" t="inlineStr">
        <is>
          <t>Non-Working Hours</t>
        </is>
      </c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9" t="n"/>
    </row>
    <row r="2" ht="57.6" customHeight="1">
      <c r="A2" s="13" t="inlineStr">
        <is>
          <t>Key1</t>
        </is>
      </c>
      <c r="B2" s="14" t="inlineStr">
        <is>
          <t>Key2</t>
        </is>
      </c>
      <c r="C2" s="14" t="inlineStr">
        <is>
          <t>MonthNum</t>
        </is>
      </c>
      <c r="D2" s="12" t="inlineStr">
        <is>
          <t>Month</t>
        </is>
      </c>
      <c r="E2" s="12" t="inlineStr">
        <is>
          <t>Year</t>
        </is>
      </c>
      <c r="F2" s="12" t="inlineStr">
        <is>
          <t>Month Week</t>
        </is>
      </c>
      <c r="G2" s="12" t="inlineStr">
        <is>
          <t>Year Week</t>
        </is>
      </c>
      <c r="H2" s="12" t="inlineStr">
        <is>
          <t>Week Start Date</t>
        </is>
      </c>
      <c r="I2" s="12" t="inlineStr">
        <is>
          <t>Week End Date</t>
        </is>
      </c>
      <c r="J2" s="12" t="inlineStr">
        <is>
          <t>Allocated Days - Current Month</t>
        </is>
      </c>
      <c r="K2" s="12" t="inlineStr">
        <is>
          <t>Allocated Days - Previous Month</t>
        </is>
      </c>
      <c r="L2" s="60" t="inlineStr">
        <is>
          <t>Sricity - LOF</t>
        </is>
      </c>
      <c r="M2" s="60" t="inlineStr">
        <is>
          <t>Sricity - 16K</t>
        </is>
      </c>
      <c r="N2" s="60" t="inlineStr">
        <is>
          <t>Sricity - NML</t>
        </is>
      </c>
      <c r="O2" s="60" t="inlineStr">
        <is>
          <t>Sricity - UL</t>
        </is>
      </c>
      <c r="P2" s="60" t="inlineStr">
        <is>
          <t>Sricity - 11K</t>
        </is>
      </c>
      <c r="Q2" s="61" t="inlineStr">
        <is>
          <t>Induri - Shell</t>
        </is>
      </c>
      <c r="R2" s="61" t="inlineStr">
        <is>
          <t>Induri - ML</t>
        </is>
      </c>
      <c r="S2" s="62" t="inlineStr">
        <is>
          <t>Baddi - E2</t>
        </is>
      </c>
      <c r="T2" s="62" t="inlineStr">
        <is>
          <t>Baddi - E4</t>
        </is>
      </c>
      <c r="U2" s="62" t="inlineStr">
        <is>
          <t>Baddi - DPC</t>
        </is>
      </c>
      <c r="V2" s="63" t="inlineStr">
        <is>
          <t>Makson - S</t>
        </is>
      </c>
      <c r="W2" s="63" t="inlineStr">
        <is>
          <t>Makson - B</t>
        </is>
      </c>
    </row>
    <row r="3">
      <c r="A3">
        <f>D3&amp;"-"&amp;RIGHT(E3,2)</f>
        <v/>
      </c>
      <c r="B3">
        <f>A3&amp;"|"&amp;F3</f>
        <v/>
      </c>
      <c r="C3" t="n">
        <v>1</v>
      </c>
      <c r="D3" t="inlineStr">
        <is>
          <t>Jan</t>
        </is>
      </c>
      <c r="E3" t="n">
        <v>2025</v>
      </c>
      <c r="F3" t="inlineStr">
        <is>
          <t>W1</t>
        </is>
      </c>
      <c r="G3" t="inlineStr">
        <is>
          <t>W1</t>
        </is>
      </c>
      <c r="H3" s="3">
        <f>I3-6</f>
        <v/>
      </c>
      <c r="I3" s="3">
        <f>H4-1</f>
        <v/>
      </c>
      <c r="J3" s="1">
        <f>IF(NOT(MONTH(H3)=MONTH(I3)),I3-DATE(E3,C3,1)+1,
    IF(MONTH(I3)=C3-1, 0,7))</f>
        <v/>
      </c>
      <c r="K3" s="1">
        <f>7-J3</f>
        <v/>
      </c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>
        <v>56</v>
      </c>
      <c r="W3" s="26" t="n">
        <v>56</v>
      </c>
    </row>
    <row r="4">
      <c r="A4">
        <f>D4&amp;"-"&amp;RIGHT(E4,2)</f>
        <v/>
      </c>
      <c r="B4">
        <f>A4&amp;"|"&amp;F4</f>
        <v/>
      </c>
      <c r="C4" t="n">
        <v>1</v>
      </c>
      <c r="D4" t="inlineStr">
        <is>
          <t>Jan</t>
        </is>
      </c>
      <c r="E4" t="n">
        <v>2025</v>
      </c>
      <c r="F4" t="inlineStr">
        <is>
          <t>W2</t>
        </is>
      </c>
      <c r="G4">
        <f>"W"&amp;WEEKNUM(H4)</f>
        <v/>
      </c>
      <c r="H4" s="3">
        <f>I4-6</f>
        <v/>
      </c>
      <c r="I4" s="3">
        <f>H5-1</f>
        <v/>
      </c>
      <c r="J4" s="1">
        <f>IF(NOT(MONTH(H4)=MONTH(I4)),I4-DATE(E4,C4,1)+1,
IF(MONTH(I4)=C4-1, 0,7))</f>
        <v/>
      </c>
      <c r="K4" s="1">
        <f>7-J4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>
        <v>56</v>
      </c>
      <c r="W4" s="26" t="n">
        <v>56</v>
      </c>
    </row>
    <row r="5">
      <c r="A5">
        <f>D5&amp;"-"&amp;RIGHT(E5,2)</f>
        <v/>
      </c>
      <c r="B5">
        <f>A5&amp;"|"&amp;F5</f>
        <v/>
      </c>
      <c r="C5" t="n">
        <v>1</v>
      </c>
      <c r="D5" t="inlineStr">
        <is>
          <t>Jan</t>
        </is>
      </c>
      <c r="E5" t="n">
        <v>2025</v>
      </c>
      <c r="F5" t="inlineStr">
        <is>
          <t>W3</t>
        </is>
      </c>
      <c r="G5">
        <f>"W"&amp;WEEKNUM(H5)</f>
        <v/>
      </c>
      <c r="H5" s="3">
        <f>I5-6</f>
        <v/>
      </c>
      <c r="I5" s="3">
        <f>H6-1</f>
        <v/>
      </c>
      <c r="J5" s="1">
        <f>IF(NOT(MONTH(H5)=MONTH(I5)),I5-DATE(E5,C5,1)+1,
IF(MONTH(I5)=C5-1, 0,7))</f>
        <v/>
      </c>
      <c r="K5" s="1">
        <f>7-J5</f>
        <v/>
      </c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>
        <v>56</v>
      </c>
      <c r="W5" s="26" t="n">
        <v>56</v>
      </c>
    </row>
    <row r="6">
      <c r="A6">
        <f>D6&amp;"-"&amp;RIGHT(E6,2)</f>
        <v/>
      </c>
      <c r="B6">
        <f>A6&amp;"|"&amp;F6</f>
        <v/>
      </c>
      <c r="C6" t="n">
        <v>1</v>
      </c>
      <c r="D6" t="inlineStr">
        <is>
          <t>Jan</t>
        </is>
      </c>
      <c r="E6" t="n">
        <v>2025</v>
      </c>
      <c r="F6" t="inlineStr">
        <is>
          <t>W4</t>
        </is>
      </c>
      <c r="G6">
        <f>"W"&amp;WEEKNUM(H6)</f>
        <v/>
      </c>
      <c r="H6" s="3">
        <f>I6-6</f>
        <v/>
      </c>
      <c r="I6" s="3">
        <f>H7-1</f>
        <v/>
      </c>
      <c r="J6" s="1">
        <f>IF(NOT(MONTH(H6)=MONTH(I6)),I6-DATE(E6,C6,1)+1,
IF(MONTH(I6)=C6-1, 0,7))</f>
        <v/>
      </c>
      <c r="K6" s="1">
        <f>7-J6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>
        <v>56</v>
      </c>
      <c r="W6" s="26" t="n">
        <v>56</v>
      </c>
    </row>
    <row r="7">
      <c r="A7">
        <f>D7&amp;"-"&amp;RIGHT(E7,2)</f>
        <v/>
      </c>
      <c r="B7">
        <f>A7&amp;"|"&amp;F7</f>
        <v/>
      </c>
      <c r="C7" t="n">
        <v>2</v>
      </c>
      <c r="D7" t="inlineStr">
        <is>
          <t>Feb</t>
        </is>
      </c>
      <c r="E7" t="n">
        <v>2025</v>
      </c>
      <c r="F7" t="inlineStr">
        <is>
          <t>W1</t>
        </is>
      </c>
      <c r="G7">
        <f>"W"&amp;WEEKNUM(H7)</f>
        <v/>
      </c>
      <c r="H7" s="3">
        <f>I7-6</f>
        <v/>
      </c>
      <c r="I7" s="3">
        <f>H8-1</f>
        <v/>
      </c>
      <c r="J7" s="1">
        <f>IF(NOT(MONTH(H7)=MONTH(I7)),I7-DATE(E7,C7,1)+1,
IF(MONTH(I7)=C7-1, 0,7))</f>
        <v/>
      </c>
      <c r="K7" s="1">
        <f>7-J7</f>
        <v/>
      </c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>
        <v>56</v>
      </c>
      <c r="W7" s="26" t="n">
        <v>56</v>
      </c>
    </row>
    <row r="8">
      <c r="A8">
        <f>D8&amp;"-"&amp;RIGHT(E8,2)</f>
        <v/>
      </c>
      <c r="B8">
        <f>A8&amp;"|"&amp;F8</f>
        <v/>
      </c>
      <c r="C8" t="n">
        <v>2</v>
      </c>
      <c r="D8" t="inlineStr">
        <is>
          <t>Feb</t>
        </is>
      </c>
      <c r="E8" t="n">
        <v>2025</v>
      </c>
      <c r="F8" t="inlineStr">
        <is>
          <t>W2</t>
        </is>
      </c>
      <c r="G8">
        <f>"W"&amp;WEEKNUM(H8)</f>
        <v/>
      </c>
      <c r="H8" s="3">
        <f>I8-6</f>
        <v/>
      </c>
      <c r="I8" s="3">
        <f>H9-1</f>
        <v/>
      </c>
      <c r="J8" s="1">
        <f>IF(NOT(MONTH(H8)=MONTH(I8)),I8-DATE(E8,C8,1)+1,
IF(MONTH(I8)=C8-1, 0,7))</f>
        <v/>
      </c>
      <c r="K8" s="1">
        <f>7-J8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>
        <v>56</v>
      </c>
      <c r="W8" s="26" t="n">
        <v>56</v>
      </c>
    </row>
    <row r="9">
      <c r="A9">
        <f>D9&amp;"-"&amp;RIGHT(E9,2)</f>
        <v/>
      </c>
      <c r="B9">
        <f>A9&amp;"|"&amp;F9</f>
        <v/>
      </c>
      <c r="C9" t="n">
        <v>2</v>
      </c>
      <c r="D9" t="inlineStr">
        <is>
          <t>Feb</t>
        </is>
      </c>
      <c r="E9" t="n">
        <v>2025</v>
      </c>
      <c r="F9" t="inlineStr">
        <is>
          <t>W3</t>
        </is>
      </c>
      <c r="G9">
        <f>"W"&amp;WEEKNUM(H9)</f>
        <v/>
      </c>
      <c r="H9" s="3">
        <f>I9-6</f>
        <v/>
      </c>
      <c r="I9" s="3">
        <f>H10-1</f>
        <v/>
      </c>
      <c r="J9" s="1">
        <f>IF(NOT(MONTH(H9)=MONTH(I9)),I9-DATE(E9,C9,1)+1,
IF(MONTH(I9)=C9-1, 0,7))</f>
        <v/>
      </c>
      <c r="K9" s="1">
        <f>7-J9</f>
        <v/>
      </c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>
        <v>56</v>
      </c>
      <c r="W9" s="26" t="n">
        <v>56</v>
      </c>
    </row>
    <row r="10">
      <c r="A10">
        <f>D10&amp;"-"&amp;RIGHT(E10,2)</f>
        <v/>
      </c>
      <c r="B10">
        <f>A10&amp;"|"&amp;F10</f>
        <v/>
      </c>
      <c r="C10" t="n">
        <v>2</v>
      </c>
      <c r="D10" t="inlineStr">
        <is>
          <t>Feb</t>
        </is>
      </c>
      <c r="E10" t="n">
        <v>2025</v>
      </c>
      <c r="F10" t="inlineStr">
        <is>
          <t>W4</t>
        </is>
      </c>
      <c r="G10">
        <f>"W"&amp;WEEKNUM(H10)</f>
        <v/>
      </c>
      <c r="H10" s="3">
        <f>I10-6</f>
        <v/>
      </c>
      <c r="I10" s="3">
        <f>H11-1</f>
        <v/>
      </c>
      <c r="J10" s="1">
        <f>IF(NOT(MONTH(H10)=MONTH(I10)),I10-DATE(E10,C10,1)+1,
IF(MONTH(I10)=C10-1, 0,7))</f>
        <v/>
      </c>
      <c r="K10" s="1">
        <f>7-J10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>
        <v>56</v>
      </c>
      <c r="W10" s="26" t="n">
        <v>56</v>
      </c>
    </row>
    <row r="11">
      <c r="A11">
        <f>D11&amp;"-"&amp;RIGHT(E11,2)</f>
        <v/>
      </c>
      <c r="B11">
        <f>A11&amp;"|"&amp;F11</f>
        <v/>
      </c>
      <c r="C11" t="n">
        <v>3</v>
      </c>
      <c r="D11" t="inlineStr">
        <is>
          <t>Mar</t>
        </is>
      </c>
      <c r="E11" t="n">
        <v>2025</v>
      </c>
      <c r="F11" t="inlineStr">
        <is>
          <t>W1</t>
        </is>
      </c>
      <c r="G11">
        <f>"W"&amp;WEEKNUM(H11)</f>
        <v/>
      </c>
      <c r="H11" s="3">
        <f>I11-6</f>
        <v/>
      </c>
      <c r="I11" s="3">
        <f>H12-1</f>
        <v/>
      </c>
      <c r="J11" s="1">
        <f>IF(NOT(MONTH(H11)=MONTH(I11)),I11-DATE(E11,C11,1)+1,
IF(MONTH(I11)=C11-1, 0,7))</f>
        <v/>
      </c>
      <c r="K11" s="1">
        <f>7-J11</f>
        <v/>
      </c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>
        <v>56</v>
      </c>
      <c r="W11" s="26" t="n">
        <v>56</v>
      </c>
    </row>
    <row r="12">
      <c r="A12">
        <f>D12&amp;"-"&amp;RIGHT(E12,2)</f>
        <v/>
      </c>
      <c r="B12">
        <f>A12&amp;"|"&amp;F12</f>
        <v/>
      </c>
      <c r="C12" t="n">
        <v>3</v>
      </c>
      <c r="D12" t="inlineStr">
        <is>
          <t>Mar</t>
        </is>
      </c>
      <c r="E12" t="n">
        <v>2025</v>
      </c>
      <c r="F12" t="inlineStr">
        <is>
          <t>W2</t>
        </is>
      </c>
      <c r="G12">
        <f>"W"&amp;WEEKNUM(H12)</f>
        <v/>
      </c>
      <c r="H12" s="3">
        <f>I12-6</f>
        <v/>
      </c>
      <c r="I12" s="3">
        <f>H13-1</f>
        <v/>
      </c>
      <c r="J12" s="1">
        <f>IF(NOT(MONTH(H12)=MONTH(I12)),I12-DATE(E12,C12,1)+1,
IF(MONTH(I12)=C12-1, 0,7))</f>
        <v/>
      </c>
      <c r="K12" s="1">
        <f>7-J12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>
        <v>56</v>
      </c>
      <c r="W12" s="26" t="n">
        <v>56</v>
      </c>
    </row>
    <row r="13">
      <c r="A13">
        <f>D13&amp;"-"&amp;RIGHT(E13,2)</f>
        <v/>
      </c>
      <c r="B13">
        <f>A13&amp;"|"&amp;F13</f>
        <v/>
      </c>
      <c r="C13" t="n">
        <v>3</v>
      </c>
      <c r="D13" t="inlineStr">
        <is>
          <t>Mar</t>
        </is>
      </c>
      <c r="E13" t="n">
        <v>2025</v>
      </c>
      <c r="F13" t="inlineStr">
        <is>
          <t>W3</t>
        </is>
      </c>
      <c r="G13">
        <f>"W"&amp;WEEKNUM(H13)</f>
        <v/>
      </c>
      <c r="H13" s="3">
        <f>I13-6</f>
        <v/>
      </c>
      <c r="I13" s="3">
        <f>H14-1</f>
        <v/>
      </c>
      <c r="J13" s="1">
        <f>IF(NOT(MONTH(H13)=MONTH(I13)),I13-DATE(E13,C13,1)+1,
IF(MONTH(I13)=C13-1, 0,7))</f>
        <v/>
      </c>
      <c r="K13" s="1">
        <f>7-J13</f>
        <v/>
      </c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>
        <v>56</v>
      </c>
      <c r="W13" s="26" t="n">
        <v>56</v>
      </c>
    </row>
    <row r="14">
      <c r="A14">
        <f>D14&amp;"-"&amp;RIGHT(E14,2)</f>
        <v/>
      </c>
      <c r="B14">
        <f>A14&amp;"|"&amp;F14</f>
        <v/>
      </c>
      <c r="C14" t="n">
        <v>3</v>
      </c>
      <c r="D14" t="inlineStr">
        <is>
          <t>Mar</t>
        </is>
      </c>
      <c r="E14" t="n">
        <v>2025</v>
      </c>
      <c r="F14" t="inlineStr">
        <is>
          <t>W4</t>
        </is>
      </c>
      <c r="G14">
        <f>"W"&amp;WEEKNUM(H14)</f>
        <v/>
      </c>
      <c r="H14" s="3">
        <f>I14-6</f>
        <v/>
      </c>
      <c r="I14" s="3">
        <f>H15-1</f>
        <v/>
      </c>
      <c r="J14" s="1">
        <f>IF(NOT(MONTH(H14)=MONTH(I14)),I14-DATE(E14,C14,1)+1,
IF(MONTH(I14)=C14-1, 0,7))</f>
        <v/>
      </c>
      <c r="K14" s="1">
        <f>7-J14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>
        <v>56</v>
      </c>
      <c r="W14" s="26" t="n">
        <v>56</v>
      </c>
    </row>
    <row r="15">
      <c r="A15">
        <f>D15&amp;"-"&amp;RIGHT(E15,2)</f>
        <v/>
      </c>
      <c r="B15">
        <f>A15&amp;"|"&amp;F15</f>
        <v/>
      </c>
      <c r="C15" t="n">
        <v>3</v>
      </c>
      <c r="D15" t="inlineStr">
        <is>
          <t>Mar</t>
        </is>
      </c>
      <c r="E15" t="n">
        <v>2025</v>
      </c>
      <c r="F15" t="inlineStr">
        <is>
          <t>W5</t>
        </is>
      </c>
      <c r="G15">
        <f>"W"&amp;WEEKNUM(H15)</f>
        <v/>
      </c>
      <c r="H15" s="3">
        <f>I15-6</f>
        <v/>
      </c>
      <c r="I15" s="3">
        <f>H16-1</f>
        <v/>
      </c>
      <c r="J15" s="1">
        <f>IF(NOT(MONTH(H15)=MONTH(I15)),I15-DATE(E15,C15,1)+1,
IF(MONTH(I15)=C15-1, 0,7))</f>
        <v/>
      </c>
      <c r="K15" s="1">
        <f>7-J15</f>
        <v/>
      </c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>
        <v>56</v>
      </c>
      <c r="W15" s="26" t="n">
        <v>56</v>
      </c>
    </row>
    <row r="16">
      <c r="A16">
        <f>D16&amp;"-"&amp;RIGHT(E16,2)</f>
        <v/>
      </c>
      <c r="B16">
        <f>A16&amp;"|"&amp;F16</f>
        <v/>
      </c>
      <c r="C16" t="n">
        <v>4</v>
      </c>
      <c r="D16" t="inlineStr">
        <is>
          <t>Apr</t>
        </is>
      </c>
      <c r="E16" t="n">
        <v>2025</v>
      </c>
      <c r="F16" t="inlineStr">
        <is>
          <t>W1</t>
        </is>
      </c>
      <c r="G16">
        <f>"W"&amp;WEEKNUM(H16)</f>
        <v/>
      </c>
      <c r="H16" s="3" t="n">
        <v>45747</v>
      </c>
      <c r="I16" s="3">
        <f>H16+6</f>
        <v/>
      </c>
      <c r="J16" s="1">
        <f>IF(NOT(MONTH(H16)=MONTH(I16)),I16-DATE(E16,C16,1)+1,
    IF(MONTH(I16)=C16-1, 0,7))</f>
        <v/>
      </c>
      <c r="K16" s="1">
        <f>7-J16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>
        <v>56</v>
      </c>
      <c r="W16" s="26" t="n">
        <v>56</v>
      </c>
    </row>
    <row r="17">
      <c r="A17">
        <f>D17&amp;"-"&amp;RIGHT(E17,2)</f>
        <v/>
      </c>
      <c r="B17">
        <f>A17&amp;"|"&amp;F17</f>
        <v/>
      </c>
      <c r="C17" t="n">
        <v>4</v>
      </c>
      <c r="D17" t="inlineStr">
        <is>
          <t>Apr</t>
        </is>
      </c>
      <c r="E17" t="n">
        <v>2025</v>
      </c>
      <c r="F17" t="inlineStr">
        <is>
          <t>W2</t>
        </is>
      </c>
      <c r="G17">
        <f>"W"&amp;WEEKNUM(H17)</f>
        <v/>
      </c>
      <c r="H17" s="3">
        <f>I16+1</f>
        <v/>
      </c>
      <c r="I17" s="3">
        <f>H17+6</f>
        <v/>
      </c>
      <c r="J17" s="1">
        <f>IF(NOT(MONTH(H17)=MONTH(I17)),I17-DATE(E17,C17,1)+1,
IF(MONTH(I17)=C17-1, 0,7))</f>
        <v/>
      </c>
      <c r="K17" s="1">
        <f>7-J17</f>
        <v/>
      </c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>
        <v>56</v>
      </c>
      <c r="W17" s="26" t="n">
        <v>56</v>
      </c>
    </row>
    <row r="18">
      <c r="A18">
        <f>D18&amp;"-"&amp;RIGHT(E18,2)</f>
        <v/>
      </c>
      <c r="B18">
        <f>A18&amp;"|"&amp;F18</f>
        <v/>
      </c>
      <c r="C18" t="n">
        <v>4</v>
      </c>
      <c r="D18" t="inlineStr">
        <is>
          <t>Apr</t>
        </is>
      </c>
      <c r="E18" t="n">
        <v>2025</v>
      </c>
      <c r="F18" t="inlineStr">
        <is>
          <t>W3</t>
        </is>
      </c>
      <c r="G18">
        <f>"W"&amp;WEEKNUM(H18)</f>
        <v/>
      </c>
      <c r="H18" s="3">
        <f>I17+1</f>
        <v/>
      </c>
      <c r="I18" s="3">
        <f>H18+6</f>
        <v/>
      </c>
      <c r="J18" s="1">
        <f>IF(NOT(MONTH(H18)=MONTH(I18)),I18-DATE(E18,C18,1)+1,
IF(MONTH(I18)=C18-1, 0,7))</f>
        <v/>
      </c>
      <c r="K18" s="1">
        <f>7-J18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>
        <v>56</v>
      </c>
      <c r="W18" s="26" t="n">
        <v>56</v>
      </c>
    </row>
    <row r="19">
      <c r="A19">
        <f>D19&amp;"-"&amp;RIGHT(E19,2)</f>
        <v/>
      </c>
      <c r="B19">
        <f>A19&amp;"|"&amp;F19</f>
        <v/>
      </c>
      <c r="C19" t="n">
        <v>4</v>
      </c>
      <c r="D19" t="inlineStr">
        <is>
          <t>Apr</t>
        </is>
      </c>
      <c r="E19" t="n">
        <v>2025</v>
      </c>
      <c r="F19" t="inlineStr">
        <is>
          <t>W4</t>
        </is>
      </c>
      <c r="G19">
        <f>"W"&amp;WEEKNUM(H19)</f>
        <v/>
      </c>
      <c r="H19" s="3">
        <f>I18+1</f>
        <v/>
      </c>
      <c r="I19" s="3">
        <f>H19+6</f>
        <v/>
      </c>
      <c r="J19" s="1">
        <f>IF(NOT(MONTH(H19)=MONTH(I19)),I19-DATE(E19,C19,1)+1,
IF(MONTH(I19)=C19-1, 0,7))</f>
        <v/>
      </c>
      <c r="K19" s="1">
        <f>7-J19</f>
        <v/>
      </c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>
        <v>56</v>
      </c>
      <c r="W19" s="26" t="n">
        <v>56</v>
      </c>
    </row>
    <row r="20">
      <c r="A20">
        <f>D20&amp;"-"&amp;RIGHT(E20,2)</f>
        <v/>
      </c>
      <c r="B20">
        <f>A20&amp;"|"&amp;F20</f>
        <v/>
      </c>
      <c r="C20" t="n">
        <v>5</v>
      </c>
      <c r="D20" t="inlineStr">
        <is>
          <t>May</t>
        </is>
      </c>
      <c r="E20" t="n">
        <v>2025</v>
      </c>
      <c r="F20" t="inlineStr">
        <is>
          <t>W1</t>
        </is>
      </c>
      <c r="G20">
        <f>"W"&amp;WEEKNUM(H20)</f>
        <v/>
      </c>
      <c r="H20" s="3">
        <f>I19+1</f>
        <v/>
      </c>
      <c r="I20" s="3">
        <f>H20+6</f>
        <v/>
      </c>
      <c r="J20" s="1">
        <f>IF(NOT(MONTH(H20)=MONTH(I20)),I20-DATE(E20,C20,1)+1,
IF(MONTH(I20)=C20-1, 0,7))</f>
        <v/>
      </c>
      <c r="K20" s="1">
        <f>7-J20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>
        <v>56</v>
      </c>
      <c r="W20" s="26" t="n">
        <v>56</v>
      </c>
    </row>
    <row r="21">
      <c r="A21">
        <f>D21&amp;"-"&amp;RIGHT(E21,2)</f>
        <v/>
      </c>
      <c r="B21">
        <f>A21&amp;"|"&amp;F21</f>
        <v/>
      </c>
      <c r="C21" t="n">
        <v>5</v>
      </c>
      <c r="D21" t="inlineStr">
        <is>
          <t>May</t>
        </is>
      </c>
      <c r="E21" t="n">
        <v>2025</v>
      </c>
      <c r="F21" t="inlineStr">
        <is>
          <t>W2</t>
        </is>
      </c>
      <c r="G21">
        <f>"W"&amp;WEEKNUM(H21)</f>
        <v/>
      </c>
      <c r="H21" s="3">
        <f>I20+1</f>
        <v/>
      </c>
      <c r="I21" s="3">
        <f>H21+6</f>
        <v/>
      </c>
      <c r="J21" s="1">
        <f>IF(NOT(MONTH(H21)=MONTH(I21)),I21-DATE(E21,C21,1)+1,
IF(MONTH(I21)=C21-1, 0,7))</f>
        <v/>
      </c>
      <c r="K21" s="1">
        <f>7-J21</f>
        <v/>
      </c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>
        <v>56</v>
      </c>
      <c r="W21" s="26" t="n">
        <v>56</v>
      </c>
    </row>
    <row r="22">
      <c r="A22">
        <f>D22&amp;"-"&amp;RIGHT(E22,2)</f>
        <v/>
      </c>
      <c r="B22">
        <f>A22&amp;"|"&amp;F22</f>
        <v/>
      </c>
      <c r="C22" t="n">
        <v>5</v>
      </c>
      <c r="D22" t="inlineStr">
        <is>
          <t>May</t>
        </is>
      </c>
      <c r="E22" t="n">
        <v>2025</v>
      </c>
      <c r="F22" t="inlineStr">
        <is>
          <t>W3</t>
        </is>
      </c>
      <c r="G22">
        <f>"W"&amp;WEEKNUM(H22)</f>
        <v/>
      </c>
      <c r="H22" s="3">
        <f>I21+1</f>
        <v/>
      </c>
      <c r="I22" s="3">
        <f>H22+6</f>
        <v/>
      </c>
      <c r="J22" s="1">
        <f>IF(NOT(MONTH(H22)=MONTH(I22)),I22-DATE(E22,C22,1)+1,
IF(MONTH(I22)=C22-1, 0,7))</f>
        <v/>
      </c>
      <c r="K22" s="1">
        <f>7-J22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>
        <v>56</v>
      </c>
      <c r="W22" s="26" t="n">
        <v>56</v>
      </c>
    </row>
    <row r="23">
      <c r="A23">
        <f>D23&amp;"-"&amp;RIGHT(E23,2)</f>
        <v/>
      </c>
      <c r="B23">
        <f>A23&amp;"|"&amp;F23</f>
        <v/>
      </c>
      <c r="C23" t="n">
        <v>5</v>
      </c>
      <c r="D23" t="inlineStr">
        <is>
          <t>May</t>
        </is>
      </c>
      <c r="E23" t="n">
        <v>2025</v>
      </c>
      <c r="F23" t="inlineStr">
        <is>
          <t>W4</t>
        </is>
      </c>
      <c r="G23">
        <f>"W"&amp;WEEKNUM(H23)</f>
        <v/>
      </c>
      <c r="H23" s="3">
        <f>I22+1</f>
        <v/>
      </c>
      <c r="I23" s="3">
        <f>H23+6</f>
        <v/>
      </c>
      <c r="J23" s="1">
        <f>IF(NOT(MONTH(H23)=MONTH(I23)),I23-DATE(E23,C23,1)+1,
IF(MONTH(I23)=C23-1, 0,7))</f>
        <v/>
      </c>
      <c r="K23" s="1">
        <f>7-J23</f>
        <v/>
      </c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>
        <v>56</v>
      </c>
      <c r="W23" s="26" t="n">
        <v>56</v>
      </c>
    </row>
    <row r="24">
      <c r="A24">
        <f>D24&amp;"-"&amp;RIGHT(E24,2)</f>
        <v/>
      </c>
      <c r="B24">
        <f>A24&amp;"|"&amp;F24</f>
        <v/>
      </c>
      <c r="C24" t="n">
        <v>6</v>
      </c>
      <c r="D24" t="inlineStr">
        <is>
          <t>Jun</t>
        </is>
      </c>
      <c r="E24" t="n">
        <v>2025</v>
      </c>
      <c r="F24" t="inlineStr">
        <is>
          <t>W1</t>
        </is>
      </c>
      <c r="G24">
        <f>"W"&amp;WEEKNUM(H24)</f>
        <v/>
      </c>
      <c r="H24" s="3">
        <f>I23+1</f>
        <v/>
      </c>
      <c r="I24" s="3">
        <f>H24+6</f>
        <v/>
      </c>
      <c r="J24" s="1">
        <f>IF(NOT(MONTH(H24)=MONTH(I24)),I24-DATE(E24,C24,1)+1,
IF(MONTH(I24)=C24-1, 0,7))</f>
        <v/>
      </c>
      <c r="K24" s="1">
        <f>7-J24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>
        <v>56</v>
      </c>
      <c r="W24" s="26" t="n">
        <v>56</v>
      </c>
    </row>
    <row r="25">
      <c r="A25">
        <f>D25&amp;"-"&amp;RIGHT(E25,2)</f>
        <v/>
      </c>
      <c r="B25">
        <f>A25&amp;"|"&amp;F25</f>
        <v/>
      </c>
      <c r="C25" t="n">
        <v>6</v>
      </c>
      <c r="D25" t="inlineStr">
        <is>
          <t>Jun</t>
        </is>
      </c>
      <c r="E25" t="n">
        <v>2025</v>
      </c>
      <c r="F25" t="inlineStr">
        <is>
          <t>W2</t>
        </is>
      </c>
      <c r="G25">
        <f>"W"&amp;WEEKNUM(H25)</f>
        <v/>
      </c>
      <c r="H25" s="3">
        <f>I24+1</f>
        <v/>
      </c>
      <c r="I25" s="3">
        <f>H25+6</f>
        <v/>
      </c>
      <c r="J25" s="1">
        <f>IF(NOT(MONTH(H25)=MONTH(I25)),I25-DATE(E25,C25,1)+1,
IF(MONTH(I25)=C25-1, 0,7))</f>
        <v/>
      </c>
      <c r="K25" s="1">
        <f>7-J25</f>
        <v/>
      </c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>
        <v>56</v>
      </c>
      <c r="W25" s="26" t="n">
        <v>56</v>
      </c>
    </row>
    <row r="26">
      <c r="A26">
        <f>D26&amp;"-"&amp;RIGHT(E26,2)</f>
        <v/>
      </c>
      <c r="B26">
        <f>A26&amp;"|"&amp;F26</f>
        <v/>
      </c>
      <c r="C26" t="n">
        <v>6</v>
      </c>
      <c r="D26" t="inlineStr">
        <is>
          <t>Jun</t>
        </is>
      </c>
      <c r="E26" t="n">
        <v>2025</v>
      </c>
      <c r="F26" t="inlineStr">
        <is>
          <t>W3</t>
        </is>
      </c>
      <c r="G26">
        <f>"W"&amp;WEEKNUM(H26)</f>
        <v/>
      </c>
      <c r="H26" s="3">
        <f>I25+1</f>
        <v/>
      </c>
      <c r="I26" s="3">
        <f>H26+6</f>
        <v/>
      </c>
      <c r="J26" s="1">
        <f>IF(NOT(MONTH(H26)=MONTH(I26)),I26-DATE(E26,C26,1)+1,
IF(MONTH(I26)=C26-1, 0,7))</f>
        <v/>
      </c>
      <c r="K26" s="1">
        <f>7-J26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>
        <v>56</v>
      </c>
      <c r="W26" s="26" t="n">
        <v>56</v>
      </c>
    </row>
    <row r="27">
      <c r="A27">
        <f>D27&amp;"-"&amp;RIGHT(E27,2)</f>
        <v/>
      </c>
      <c r="B27">
        <f>A27&amp;"|"&amp;F27</f>
        <v/>
      </c>
      <c r="C27" t="n">
        <v>6</v>
      </c>
      <c r="D27" t="inlineStr">
        <is>
          <t>Jun</t>
        </is>
      </c>
      <c r="E27" t="n">
        <v>2025</v>
      </c>
      <c r="F27" t="inlineStr">
        <is>
          <t>W4</t>
        </is>
      </c>
      <c r="G27">
        <f>"W"&amp;WEEKNUM(H27)</f>
        <v/>
      </c>
      <c r="H27" s="3">
        <f>I26+1</f>
        <v/>
      </c>
      <c r="I27" s="3">
        <f>H27+6</f>
        <v/>
      </c>
      <c r="J27" s="1">
        <f>IF(NOT(MONTH(H27)=MONTH(I27)),I27-DATE(E27,C27,1)+1,
IF(MONTH(I27)=C27-1, 0,7))</f>
        <v/>
      </c>
      <c r="K27" s="1">
        <f>7-J27</f>
        <v/>
      </c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>
        <v>56</v>
      </c>
      <c r="W27" s="26" t="n">
        <v>56</v>
      </c>
    </row>
    <row r="28">
      <c r="A28">
        <f>D28&amp;"-"&amp;RIGHT(E28,2)</f>
        <v/>
      </c>
      <c r="B28">
        <f>A28&amp;"|"&amp;F28</f>
        <v/>
      </c>
      <c r="C28" t="n">
        <v>6</v>
      </c>
      <c r="D28" t="inlineStr">
        <is>
          <t>Jun</t>
        </is>
      </c>
      <c r="E28" t="n">
        <v>2025</v>
      </c>
      <c r="F28" t="inlineStr">
        <is>
          <t>W5</t>
        </is>
      </c>
      <c r="G28">
        <f>"W"&amp;WEEKNUM(H28)</f>
        <v/>
      </c>
      <c r="H28" s="3">
        <f>I27+1</f>
        <v/>
      </c>
      <c r="I28" s="3">
        <f>H28+6</f>
        <v/>
      </c>
      <c r="J28" s="1">
        <f>IF(NOT(MONTH(H28)=MONTH(I28)),I28-DATE(E28,C28,1)+1,
IF(MONTH(I28)=C28-1, 0,7))</f>
        <v/>
      </c>
      <c r="K28" s="1">
        <f>7-J28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>
        <v>56</v>
      </c>
      <c r="W28" s="26" t="n">
        <v>56</v>
      </c>
    </row>
    <row r="29">
      <c r="A29">
        <f>D29&amp;"-"&amp;RIGHT(E29,2)</f>
        <v/>
      </c>
      <c r="B29">
        <f>A29&amp;"|"&amp;F29</f>
        <v/>
      </c>
      <c r="C29" t="n">
        <v>7</v>
      </c>
      <c r="D29" t="inlineStr">
        <is>
          <t>Jul</t>
        </is>
      </c>
      <c r="E29" t="n">
        <v>2025</v>
      </c>
      <c r="F29" t="inlineStr">
        <is>
          <t>W1</t>
        </is>
      </c>
      <c r="G29">
        <f>"W"&amp;WEEKNUM(H29)</f>
        <v/>
      </c>
      <c r="H29" s="3">
        <f>I28+1</f>
        <v/>
      </c>
      <c r="I29" s="3">
        <f>H29+6</f>
        <v/>
      </c>
      <c r="J29" s="1">
        <f>IF(NOT(MONTH(H29)=MONTH(I29)),I29-DATE(E29,C29,1)+1,
IF(MONTH(I29)=C29-1, 0,7))</f>
        <v/>
      </c>
      <c r="K29" s="1">
        <f>7-J29</f>
        <v/>
      </c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>
        <v>56</v>
      </c>
      <c r="W29" s="26" t="n">
        <v>56</v>
      </c>
    </row>
    <row r="30">
      <c r="A30">
        <f>D30&amp;"-"&amp;RIGHT(E30,2)</f>
        <v/>
      </c>
      <c r="B30">
        <f>A30&amp;"|"&amp;F30</f>
        <v/>
      </c>
      <c r="C30" t="n">
        <v>7</v>
      </c>
      <c r="D30" t="inlineStr">
        <is>
          <t>Jul</t>
        </is>
      </c>
      <c r="E30" t="n">
        <v>2025</v>
      </c>
      <c r="F30" t="inlineStr">
        <is>
          <t>W2</t>
        </is>
      </c>
      <c r="G30">
        <f>"W"&amp;WEEKNUM(H30)</f>
        <v/>
      </c>
      <c r="H30" s="3">
        <f>I29+1</f>
        <v/>
      </c>
      <c r="I30" s="3">
        <f>H30+6</f>
        <v/>
      </c>
      <c r="J30" s="1">
        <f>IF(NOT(MONTH(H30)=MONTH(I30)),I30-DATE(E30,C30,1)+1,
IF(MONTH(I30)=C30-1, 0,7))</f>
        <v/>
      </c>
      <c r="K30" s="1">
        <f>7-J30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>
        <v>56</v>
      </c>
      <c r="W30" s="26" t="n">
        <v>56</v>
      </c>
    </row>
    <row r="31">
      <c r="A31">
        <f>D31&amp;"-"&amp;RIGHT(E31,2)</f>
        <v/>
      </c>
      <c r="B31">
        <f>A31&amp;"|"&amp;F31</f>
        <v/>
      </c>
      <c r="C31" t="n">
        <v>7</v>
      </c>
      <c r="D31" t="inlineStr">
        <is>
          <t>Jul</t>
        </is>
      </c>
      <c r="E31" t="n">
        <v>2025</v>
      </c>
      <c r="F31" t="inlineStr">
        <is>
          <t>W3</t>
        </is>
      </c>
      <c r="G31">
        <f>"W"&amp;WEEKNUM(H31)</f>
        <v/>
      </c>
      <c r="H31" s="3">
        <f>I30+1</f>
        <v/>
      </c>
      <c r="I31" s="3">
        <f>H31+6</f>
        <v/>
      </c>
      <c r="J31" s="1">
        <f>IF(NOT(MONTH(H31)=MONTH(I31)),I31-DATE(E31,C31,1)+1,
IF(MONTH(I31)=C31-1, 0,7))</f>
        <v/>
      </c>
      <c r="K31" s="1">
        <f>7-J31</f>
        <v/>
      </c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>
        <v>56</v>
      </c>
      <c r="W31" s="26" t="n">
        <v>56</v>
      </c>
    </row>
    <row r="32">
      <c r="A32">
        <f>D32&amp;"-"&amp;RIGHT(E32,2)</f>
        <v/>
      </c>
      <c r="B32">
        <f>A32&amp;"|"&amp;F32</f>
        <v/>
      </c>
      <c r="C32" t="n">
        <v>7</v>
      </c>
      <c r="D32" t="inlineStr">
        <is>
          <t>Jul</t>
        </is>
      </c>
      <c r="E32" t="n">
        <v>2025</v>
      </c>
      <c r="F32" t="inlineStr">
        <is>
          <t>W4</t>
        </is>
      </c>
      <c r="G32">
        <f>"W"&amp;WEEKNUM(H32)</f>
        <v/>
      </c>
      <c r="H32" s="3">
        <f>I31+1</f>
        <v/>
      </c>
      <c r="I32" s="3">
        <f>H32+6</f>
        <v/>
      </c>
      <c r="J32" s="1">
        <f>IF(NOT(MONTH(H32)=MONTH(I32)),I32-DATE(E32,C32,1)+1,
IF(MONTH(I32)=C32-1, 0,7))</f>
        <v/>
      </c>
      <c r="K32" s="1">
        <f>7-J32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>
        <v>56</v>
      </c>
      <c r="W32" s="26" t="n">
        <v>56</v>
      </c>
    </row>
    <row r="33">
      <c r="A33">
        <f>D33&amp;"-"&amp;RIGHT(E33,2)</f>
        <v/>
      </c>
      <c r="B33">
        <f>A33&amp;"|"&amp;F33</f>
        <v/>
      </c>
      <c r="C33" t="n">
        <v>8</v>
      </c>
      <c r="D33" t="inlineStr">
        <is>
          <t>Aug</t>
        </is>
      </c>
      <c r="E33" t="n">
        <v>2025</v>
      </c>
      <c r="F33" t="inlineStr">
        <is>
          <t>W1</t>
        </is>
      </c>
      <c r="G33">
        <f>"W"&amp;WEEKNUM(H33)</f>
        <v/>
      </c>
      <c r="H33" s="3">
        <f>I32+1</f>
        <v/>
      </c>
      <c r="I33" s="3">
        <f>H33+6</f>
        <v/>
      </c>
      <c r="J33" s="1">
        <f>IF(NOT(MONTH(H33)=MONTH(I33)),I33-DATE(E33,C33,1)+1,
IF(MONTH(I33)=C33-1, 0,7))</f>
        <v/>
      </c>
      <c r="K33" s="1">
        <f>7-J33</f>
        <v/>
      </c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>
        <v>56</v>
      </c>
      <c r="W33" s="26" t="n">
        <v>56</v>
      </c>
    </row>
    <row r="34">
      <c r="A34">
        <f>D34&amp;"-"&amp;RIGHT(E34,2)</f>
        <v/>
      </c>
      <c r="B34">
        <f>A34&amp;"|"&amp;F34</f>
        <v/>
      </c>
      <c r="C34" t="n">
        <v>8</v>
      </c>
      <c r="D34" t="inlineStr">
        <is>
          <t>Aug</t>
        </is>
      </c>
      <c r="E34" t="n">
        <v>2025</v>
      </c>
      <c r="F34" t="inlineStr">
        <is>
          <t>W2</t>
        </is>
      </c>
      <c r="G34">
        <f>"W"&amp;WEEKNUM(H34)</f>
        <v/>
      </c>
      <c r="H34" s="3">
        <f>I33+1</f>
        <v/>
      </c>
      <c r="I34" s="3">
        <f>H34+6</f>
        <v/>
      </c>
      <c r="J34" s="1">
        <f>IF(NOT(MONTH(H34)=MONTH(I34)),I34-DATE(E34,C34,1)+1,
IF(MONTH(I34)=C34-1, 0,7))</f>
        <v/>
      </c>
      <c r="K34" s="1">
        <f>7-J34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>
        <v>56</v>
      </c>
      <c r="W34" s="26" t="n">
        <v>56</v>
      </c>
    </row>
    <row r="35">
      <c r="A35">
        <f>D35&amp;"-"&amp;RIGHT(E35,2)</f>
        <v/>
      </c>
      <c r="B35">
        <f>A35&amp;"|"&amp;F35</f>
        <v/>
      </c>
      <c r="C35" t="n">
        <v>8</v>
      </c>
      <c r="D35" t="inlineStr">
        <is>
          <t>Aug</t>
        </is>
      </c>
      <c r="E35" t="n">
        <v>2025</v>
      </c>
      <c r="F35" t="inlineStr">
        <is>
          <t>W3</t>
        </is>
      </c>
      <c r="G35">
        <f>"W"&amp;WEEKNUM(H35)</f>
        <v/>
      </c>
      <c r="H35" s="3">
        <f>I34+1</f>
        <v/>
      </c>
      <c r="I35" s="3">
        <f>H35+6</f>
        <v/>
      </c>
      <c r="J35" s="1">
        <f>IF(NOT(MONTH(H35)=MONTH(I35)),I35-DATE(E35,C35,1)+1,
IF(MONTH(I35)=C35-1, 0,7))</f>
        <v/>
      </c>
      <c r="K35" s="1">
        <f>7-J35</f>
        <v/>
      </c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>
        <v>80</v>
      </c>
      <c r="W35" s="26" t="n">
        <v>80</v>
      </c>
    </row>
    <row r="36">
      <c r="A36">
        <f>D36&amp;"-"&amp;RIGHT(E36,2)</f>
        <v/>
      </c>
      <c r="B36">
        <f>A36&amp;"|"&amp;F36</f>
        <v/>
      </c>
      <c r="C36" t="n">
        <v>8</v>
      </c>
      <c r="D36" t="inlineStr">
        <is>
          <t>Aug</t>
        </is>
      </c>
      <c r="E36" t="n">
        <v>2025</v>
      </c>
      <c r="F36" t="inlineStr">
        <is>
          <t>W4</t>
        </is>
      </c>
      <c r="G36">
        <f>"W"&amp;WEEKNUM(H36)</f>
        <v/>
      </c>
      <c r="H36" s="3">
        <f>I35+1</f>
        <v/>
      </c>
      <c r="I36" s="3">
        <f>H36+6</f>
        <v/>
      </c>
      <c r="J36" s="1">
        <f>IF(NOT(MONTH(H36)=MONTH(I36)),I36-DATE(E36,C36,1)+1,
IF(MONTH(I36)=C36-1, 0,7))</f>
        <v/>
      </c>
      <c r="K36" s="1">
        <f>7-J36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>
        <v>56</v>
      </c>
      <c r="W36" s="26" t="n">
        <v>56</v>
      </c>
    </row>
    <row r="37">
      <c r="A37">
        <f>D37&amp;"-"&amp;RIGHT(E37,2)</f>
        <v/>
      </c>
      <c r="B37">
        <f>A37&amp;"|"&amp;F37</f>
        <v/>
      </c>
      <c r="C37" t="n">
        <v>9</v>
      </c>
      <c r="D37" t="inlineStr">
        <is>
          <t>Sep</t>
        </is>
      </c>
      <c r="E37" t="n">
        <v>2025</v>
      </c>
      <c r="F37" t="inlineStr">
        <is>
          <t>W1</t>
        </is>
      </c>
      <c r="G37">
        <f>"W"&amp;WEEKNUM(H37)</f>
        <v/>
      </c>
      <c r="H37" s="3">
        <f>I36+1</f>
        <v/>
      </c>
      <c r="I37" s="3">
        <f>H37+6</f>
        <v/>
      </c>
      <c r="J37" s="1">
        <f>IF(NOT(MONTH(H37)=MONTH(I37)),I37-DATE(E37,C37,1)+1,
IF(MONTH(I37)=C37-1, 0,7))</f>
        <v/>
      </c>
      <c r="K37" s="1">
        <f>7-J37</f>
        <v/>
      </c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>
        <v>56</v>
      </c>
      <c r="W37" s="26" t="n">
        <v>56</v>
      </c>
    </row>
    <row r="38">
      <c r="A38">
        <f>D38&amp;"-"&amp;RIGHT(E38,2)</f>
        <v/>
      </c>
      <c r="B38">
        <f>A38&amp;"|"&amp;F38</f>
        <v/>
      </c>
      <c r="C38" t="n">
        <v>9</v>
      </c>
      <c r="D38" t="inlineStr">
        <is>
          <t>Sep</t>
        </is>
      </c>
      <c r="E38" t="n">
        <v>2025</v>
      </c>
      <c r="F38" t="inlineStr">
        <is>
          <t>W2</t>
        </is>
      </c>
      <c r="G38">
        <f>"W"&amp;WEEKNUM(H38)</f>
        <v/>
      </c>
      <c r="H38" s="3">
        <f>I37+1</f>
        <v/>
      </c>
      <c r="I38" s="3">
        <f>H38+6</f>
        <v/>
      </c>
      <c r="J38" s="1">
        <f>IF(NOT(MONTH(H38)=MONTH(I38)),I38-DATE(E38,C38,1)+1,
IF(MONTH(I38)=C38-1, 0,7))</f>
        <v/>
      </c>
      <c r="K38" s="1">
        <f>7-J38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>
        <v>56</v>
      </c>
      <c r="W38" s="26" t="n">
        <v>56</v>
      </c>
    </row>
    <row r="39">
      <c r="A39">
        <f>D39&amp;"-"&amp;RIGHT(E39,2)</f>
        <v/>
      </c>
      <c r="B39">
        <f>A39&amp;"|"&amp;F39</f>
        <v/>
      </c>
      <c r="C39" t="n">
        <v>9</v>
      </c>
      <c r="D39" t="inlineStr">
        <is>
          <t>Sep</t>
        </is>
      </c>
      <c r="E39" t="n">
        <v>2025</v>
      </c>
      <c r="F39" t="inlineStr">
        <is>
          <t>W3</t>
        </is>
      </c>
      <c r="G39">
        <f>"W"&amp;WEEKNUM(H39)</f>
        <v/>
      </c>
      <c r="H39" s="3">
        <f>I38+1</f>
        <v/>
      </c>
      <c r="I39" s="3">
        <f>H39+6</f>
        <v/>
      </c>
      <c r="J39" s="1">
        <f>IF(NOT(MONTH(H39)=MONTH(I39)),I39-DATE(E39,C39,1)+1,
IF(MONTH(I39)=C39-1, 0,7))</f>
        <v/>
      </c>
      <c r="K39" s="1">
        <f>7-J39</f>
        <v/>
      </c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>
        <v>56</v>
      </c>
      <c r="W39" s="26" t="n">
        <v>56</v>
      </c>
    </row>
    <row r="40">
      <c r="A40">
        <f>D40&amp;"-"&amp;RIGHT(E40,2)</f>
        <v/>
      </c>
      <c r="B40">
        <f>A40&amp;"|"&amp;F40</f>
        <v/>
      </c>
      <c r="C40" t="n">
        <v>9</v>
      </c>
      <c r="D40" t="inlineStr">
        <is>
          <t>Sep</t>
        </is>
      </c>
      <c r="E40" t="n">
        <v>2025</v>
      </c>
      <c r="F40" t="inlineStr">
        <is>
          <t>W4</t>
        </is>
      </c>
      <c r="G40">
        <f>"W"&amp;WEEKNUM(H40)</f>
        <v/>
      </c>
      <c r="H40" s="3">
        <f>I39+1</f>
        <v/>
      </c>
      <c r="I40" s="3">
        <f>H40+6</f>
        <v/>
      </c>
      <c r="J40" s="1">
        <f>IF(NOT(MONTH(H40)=MONTH(I40)),I40-DATE(E40,C40,1)+1,
IF(MONTH(I40)=C40-1, 0,7))</f>
        <v/>
      </c>
      <c r="K40" s="1">
        <f>7-J40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>
        <v>56</v>
      </c>
      <c r="W40" s="26" t="n">
        <v>56</v>
      </c>
    </row>
    <row r="41">
      <c r="A41">
        <f>D41&amp;"-"&amp;RIGHT(E41,2)</f>
        <v/>
      </c>
      <c r="B41">
        <f>A41&amp;"|"&amp;F41</f>
        <v/>
      </c>
      <c r="C41" t="n">
        <v>9</v>
      </c>
      <c r="D41" t="inlineStr">
        <is>
          <t>Sep</t>
        </is>
      </c>
      <c r="E41" t="n">
        <v>2025</v>
      </c>
      <c r="F41" t="inlineStr">
        <is>
          <t>W5</t>
        </is>
      </c>
      <c r="G41">
        <f>"W"&amp;WEEKNUM(H41)</f>
        <v/>
      </c>
      <c r="H41" s="3">
        <f>I40+1</f>
        <v/>
      </c>
      <c r="I41" s="3">
        <f>H41+6</f>
        <v/>
      </c>
      <c r="J41" s="1">
        <f>IF(NOT(MONTH(H41)=MONTH(I41)),I41-DATE(E41,C41,1)+1,
IF(MONTH(I41)=C41-1, 0,7))</f>
        <v/>
      </c>
      <c r="K41" s="1">
        <f>7-J41</f>
        <v/>
      </c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>
        <v>56</v>
      </c>
      <c r="W41" s="26" t="n">
        <v>56</v>
      </c>
    </row>
    <row r="42">
      <c r="A42">
        <f>D42&amp;"-"&amp;RIGHT(E42,2)</f>
        <v/>
      </c>
      <c r="B42">
        <f>A42&amp;"|"&amp;F42</f>
        <v/>
      </c>
      <c r="C42" t="n">
        <v>10</v>
      </c>
      <c r="D42" t="inlineStr">
        <is>
          <t>Oct</t>
        </is>
      </c>
      <c r="E42" t="n">
        <v>2025</v>
      </c>
      <c r="F42" t="inlineStr">
        <is>
          <t>W1</t>
        </is>
      </c>
      <c r="G42">
        <f>"W"&amp;WEEKNUM(H42)</f>
        <v/>
      </c>
      <c r="H42" s="3">
        <f>I41+1</f>
        <v/>
      </c>
      <c r="I42" s="3">
        <f>H42+6</f>
        <v/>
      </c>
      <c r="J42" s="1">
        <f>IF(NOT(MONTH(H42)=MONTH(I42)),I42-DATE(E42,C42,1)+1,
IF(MONTH(I42)=C42-1, 0,7))</f>
        <v/>
      </c>
      <c r="K42" s="1">
        <f>7-J42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>
        <v>56</v>
      </c>
      <c r="W42" s="26" t="n">
        <v>56</v>
      </c>
    </row>
    <row r="43">
      <c r="A43">
        <f>D43&amp;"-"&amp;RIGHT(E43,2)</f>
        <v/>
      </c>
      <c r="B43">
        <f>A43&amp;"|"&amp;F43</f>
        <v/>
      </c>
      <c r="C43" t="n">
        <v>10</v>
      </c>
      <c r="D43" t="inlineStr">
        <is>
          <t>Oct</t>
        </is>
      </c>
      <c r="E43" t="n">
        <v>2025</v>
      </c>
      <c r="F43" t="inlineStr">
        <is>
          <t>W2</t>
        </is>
      </c>
      <c r="G43">
        <f>"W"&amp;WEEKNUM(H43)</f>
        <v/>
      </c>
      <c r="H43" s="3">
        <f>I42+1</f>
        <v/>
      </c>
      <c r="I43" s="3">
        <f>H43+6</f>
        <v/>
      </c>
      <c r="J43" s="1">
        <f>IF(NOT(MONTH(H43)=MONTH(I43)),I43-DATE(E43,C43,1)+1,
IF(MONTH(I43)=C43-1, 0,7))</f>
        <v/>
      </c>
      <c r="K43" s="1">
        <f>7-J43</f>
        <v/>
      </c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>
        <v>56</v>
      </c>
      <c r="W43" s="26" t="n">
        <v>56</v>
      </c>
    </row>
    <row r="44">
      <c r="A44">
        <f>D44&amp;"-"&amp;RIGHT(E44,2)</f>
        <v/>
      </c>
      <c r="B44">
        <f>A44&amp;"|"&amp;F44</f>
        <v/>
      </c>
      <c r="C44" t="n">
        <v>10</v>
      </c>
      <c r="D44" t="inlineStr">
        <is>
          <t>Oct</t>
        </is>
      </c>
      <c r="E44" t="n">
        <v>2025</v>
      </c>
      <c r="F44" t="inlineStr">
        <is>
          <t>W3</t>
        </is>
      </c>
      <c r="G44">
        <f>"W"&amp;WEEKNUM(H44)</f>
        <v/>
      </c>
      <c r="H44" s="3">
        <f>I43+1</f>
        <v/>
      </c>
      <c r="I44" s="3">
        <f>H44+6</f>
        <v/>
      </c>
      <c r="J44" s="1">
        <f>IF(NOT(MONTH(H44)=MONTH(I44)),I44-DATE(E44,C44,1)+1,
IF(MONTH(I44)=C44-1, 0,7))</f>
        <v/>
      </c>
      <c r="K44" s="1">
        <f>7-J44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>
        <v>56</v>
      </c>
      <c r="W44" s="26" t="n">
        <v>56</v>
      </c>
    </row>
    <row r="45">
      <c r="A45">
        <f>D45&amp;"-"&amp;RIGHT(E45,2)</f>
        <v/>
      </c>
      <c r="B45">
        <f>A45&amp;"|"&amp;F45</f>
        <v/>
      </c>
      <c r="C45" t="n">
        <v>10</v>
      </c>
      <c r="D45" t="inlineStr">
        <is>
          <t>Oct</t>
        </is>
      </c>
      <c r="E45" t="n">
        <v>2025</v>
      </c>
      <c r="F45" t="inlineStr">
        <is>
          <t>W4</t>
        </is>
      </c>
      <c r="G45">
        <f>"W"&amp;WEEKNUM(H45)</f>
        <v/>
      </c>
      <c r="H45" s="3">
        <f>I44+1</f>
        <v/>
      </c>
      <c r="I45" s="3">
        <f>H45+6</f>
        <v/>
      </c>
      <c r="J45" s="1">
        <f>IF(NOT(MONTH(H45)=MONTH(I45)),I45-DATE(E45,C45,1)+1,
IF(MONTH(I45)=C45-1, 0,7))</f>
        <v/>
      </c>
      <c r="K45" s="1">
        <f>7-J45</f>
        <v/>
      </c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>
        <v>56</v>
      </c>
      <c r="W45" s="26" t="n">
        <v>56</v>
      </c>
    </row>
    <row r="46">
      <c r="A46">
        <f>D46&amp;"-"&amp;RIGHT(E46,2)</f>
        <v/>
      </c>
      <c r="B46">
        <f>A46&amp;"|"&amp;F46</f>
        <v/>
      </c>
      <c r="C46" t="n">
        <v>11</v>
      </c>
      <c r="D46" t="inlineStr">
        <is>
          <t>Nov</t>
        </is>
      </c>
      <c r="E46" t="n">
        <v>2025</v>
      </c>
      <c r="F46" t="inlineStr">
        <is>
          <t>W1</t>
        </is>
      </c>
      <c r="G46">
        <f>"W"&amp;WEEKNUM(H46)</f>
        <v/>
      </c>
      <c r="H46" s="3">
        <f>I45+1</f>
        <v/>
      </c>
      <c r="I46" s="3">
        <f>H46+6</f>
        <v/>
      </c>
      <c r="J46" s="1">
        <f>IF(NOT(MONTH(H46)=MONTH(I46)),I46-DATE(E46,C46,1)+1,
IF(MONTH(I46)=C46-1, 0,7))</f>
        <v/>
      </c>
      <c r="K46" s="1">
        <f>7-J46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>
        <v>56</v>
      </c>
      <c r="W46" s="26" t="n">
        <v>56</v>
      </c>
    </row>
    <row r="47">
      <c r="A47">
        <f>D47&amp;"-"&amp;RIGHT(E47,2)</f>
        <v/>
      </c>
      <c r="B47">
        <f>A47&amp;"|"&amp;F47</f>
        <v/>
      </c>
      <c r="C47" t="n">
        <v>11</v>
      </c>
      <c r="D47" t="inlineStr">
        <is>
          <t>Nov</t>
        </is>
      </c>
      <c r="E47" t="n">
        <v>2025</v>
      </c>
      <c r="F47" t="inlineStr">
        <is>
          <t>W2</t>
        </is>
      </c>
      <c r="G47">
        <f>"W"&amp;WEEKNUM(H47)</f>
        <v/>
      </c>
      <c r="H47" s="3">
        <f>I46+1</f>
        <v/>
      </c>
      <c r="I47" s="3">
        <f>H47+6</f>
        <v/>
      </c>
      <c r="J47" s="1">
        <f>IF(NOT(MONTH(H47)=MONTH(I47)),I47-DATE(E47,C47,1)+1,
IF(MONTH(I47)=C47-1, 0,7))</f>
        <v/>
      </c>
      <c r="K47" s="1">
        <f>7-J47</f>
        <v/>
      </c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>
        <v>56</v>
      </c>
      <c r="W47" s="26" t="n">
        <v>56</v>
      </c>
    </row>
    <row r="48">
      <c r="A48">
        <f>D48&amp;"-"&amp;RIGHT(E48,2)</f>
        <v/>
      </c>
      <c r="B48">
        <f>A48&amp;"|"&amp;F48</f>
        <v/>
      </c>
      <c r="C48" t="n">
        <v>11</v>
      </c>
      <c r="D48" t="inlineStr">
        <is>
          <t>Nov</t>
        </is>
      </c>
      <c r="E48" t="n">
        <v>2025</v>
      </c>
      <c r="F48" t="inlineStr">
        <is>
          <t>W3</t>
        </is>
      </c>
      <c r="G48">
        <f>"W"&amp;WEEKNUM(H48)</f>
        <v/>
      </c>
      <c r="H48" s="3">
        <f>I47+1</f>
        <v/>
      </c>
      <c r="I48" s="3">
        <f>H48+6</f>
        <v/>
      </c>
      <c r="J48" s="1">
        <f>IF(NOT(MONTH(H48)=MONTH(I48)),I48-DATE(E48,C48,1)+1,
IF(MONTH(I48)=C48-1, 0,7))</f>
        <v/>
      </c>
      <c r="K48" s="1">
        <f>7-J48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>
        <v>56</v>
      </c>
      <c r="W48" s="26" t="n">
        <v>56</v>
      </c>
    </row>
    <row r="49">
      <c r="A49">
        <f>D49&amp;"-"&amp;RIGHT(E49,2)</f>
        <v/>
      </c>
      <c r="B49">
        <f>A49&amp;"|"&amp;F49</f>
        <v/>
      </c>
      <c r="C49" t="n">
        <v>11</v>
      </c>
      <c r="D49" t="inlineStr">
        <is>
          <t>Nov</t>
        </is>
      </c>
      <c r="E49" t="n">
        <v>2025</v>
      </c>
      <c r="F49" t="inlineStr">
        <is>
          <t>W4</t>
        </is>
      </c>
      <c r="G49">
        <f>"W"&amp;WEEKNUM(H49)</f>
        <v/>
      </c>
      <c r="H49" s="3">
        <f>I48+1</f>
        <v/>
      </c>
      <c r="I49" s="3">
        <f>H49+6</f>
        <v/>
      </c>
      <c r="J49" s="1">
        <f>IF(NOT(MONTH(H49)=MONTH(I49)),I49-DATE(E49,C49,1)+1,
IF(MONTH(I49)=C49-1, 0,7))</f>
        <v/>
      </c>
      <c r="K49" s="1">
        <f>7-J49</f>
        <v/>
      </c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>
        <v>56</v>
      </c>
      <c r="W49" s="26" t="n">
        <v>56</v>
      </c>
    </row>
    <row r="50">
      <c r="A50">
        <f>D50&amp;"-"&amp;RIGHT(E50,2)</f>
        <v/>
      </c>
      <c r="B50">
        <f>A50&amp;"|"&amp;F50</f>
        <v/>
      </c>
      <c r="C50" t="n">
        <v>12</v>
      </c>
      <c r="D50" t="inlineStr">
        <is>
          <t>Dec</t>
        </is>
      </c>
      <c r="E50" t="n">
        <v>2025</v>
      </c>
      <c r="F50" t="inlineStr">
        <is>
          <t>W1</t>
        </is>
      </c>
      <c r="G50">
        <f>"W"&amp;WEEKNUM(H50)</f>
        <v/>
      </c>
      <c r="H50" s="3">
        <f>I49+1</f>
        <v/>
      </c>
      <c r="I50" s="3">
        <f>H50+6</f>
        <v/>
      </c>
      <c r="J50" s="1">
        <f>IF(NOT(MONTH(H50)=MONTH(I50)),I50-DATE(E50,C50,1)+1,
IF(MONTH(I50)=C50-1, 0,7))</f>
        <v/>
      </c>
      <c r="K50" s="1">
        <f>7-J50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>
        <v>56</v>
      </c>
      <c r="W50" s="26" t="n">
        <v>56</v>
      </c>
    </row>
    <row r="51">
      <c r="A51">
        <f>D51&amp;"-"&amp;RIGHT(E51,2)</f>
        <v/>
      </c>
      <c r="B51">
        <f>A51&amp;"|"&amp;F51</f>
        <v/>
      </c>
      <c r="C51" t="n">
        <v>12</v>
      </c>
      <c r="D51" t="inlineStr">
        <is>
          <t>Dec</t>
        </is>
      </c>
      <c r="E51" t="n">
        <v>2025</v>
      </c>
      <c r="F51" t="inlineStr">
        <is>
          <t>W2</t>
        </is>
      </c>
      <c r="G51">
        <f>"W"&amp;WEEKNUM(H51)</f>
        <v/>
      </c>
      <c r="H51" s="3">
        <f>I50+1</f>
        <v/>
      </c>
      <c r="I51" s="3">
        <f>H51+6</f>
        <v/>
      </c>
      <c r="J51" s="1">
        <f>IF(NOT(MONTH(H51)=MONTH(I51)),I51-DATE(E51,C51,1)+1,
IF(MONTH(I51)=C51-1, 0,7))</f>
        <v/>
      </c>
      <c r="K51" s="1">
        <f>7-J51</f>
        <v/>
      </c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>
        <v>56</v>
      </c>
      <c r="W51" s="26" t="n">
        <v>56</v>
      </c>
    </row>
    <row r="52">
      <c r="A52">
        <f>D52&amp;"-"&amp;RIGHT(E52,2)</f>
        <v/>
      </c>
      <c r="B52">
        <f>A52&amp;"|"&amp;F52</f>
        <v/>
      </c>
      <c r="C52" t="n">
        <v>12</v>
      </c>
      <c r="D52" t="inlineStr">
        <is>
          <t>Dec</t>
        </is>
      </c>
      <c r="E52" t="n">
        <v>2025</v>
      </c>
      <c r="F52" t="inlineStr">
        <is>
          <t>W3</t>
        </is>
      </c>
      <c r="G52">
        <f>"W"&amp;WEEKNUM(H52)</f>
        <v/>
      </c>
      <c r="H52" s="3">
        <f>I51+1</f>
        <v/>
      </c>
      <c r="I52" s="3">
        <f>H52+6</f>
        <v/>
      </c>
      <c r="J52" s="1">
        <f>IF(NOT(MONTH(H52)=MONTH(I52)),I52-DATE(E52,C52,1)+1,
IF(MONTH(I52)=C52-1, 0,7))</f>
        <v/>
      </c>
      <c r="K52" s="1">
        <f>7-J52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>
        <v>56</v>
      </c>
      <c r="W52" s="26" t="n">
        <v>56</v>
      </c>
    </row>
    <row r="53">
      <c r="A53">
        <f>D53&amp;"-"&amp;RIGHT(E53,2)</f>
        <v/>
      </c>
      <c r="B53">
        <f>A53&amp;"|"&amp;F53</f>
        <v/>
      </c>
      <c r="C53" t="n">
        <v>12</v>
      </c>
      <c r="D53" t="inlineStr">
        <is>
          <t>Dec</t>
        </is>
      </c>
      <c r="E53" t="n">
        <v>2025</v>
      </c>
      <c r="F53" t="inlineStr">
        <is>
          <t>W4</t>
        </is>
      </c>
      <c r="G53">
        <f>"W"&amp;WEEKNUM(H53)</f>
        <v/>
      </c>
      <c r="H53" s="3">
        <f>I52+1</f>
        <v/>
      </c>
      <c r="I53" s="3">
        <f>H53+6</f>
        <v/>
      </c>
      <c r="J53" s="1">
        <f>IF(NOT(MONTH(H53)=MONTH(I53)),I53-DATE(E53,C53,1)+1,
IF(MONTH(I53)=C53-1, 0,7))</f>
        <v/>
      </c>
      <c r="K53" s="1">
        <f>7-J53</f>
        <v/>
      </c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>
        <v>56</v>
      </c>
      <c r="W53" s="26" t="n">
        <v>56</v>
      </c>
    </row>
    <row r="54">
      <c r="A54">
        <f>D54&amp;"-"&amp;RIGHT(E54,2)</f>
        <v/>
      </c>
      <c r="B54">
        <f>A54&amp;"|"&amp;F54</f>
        <v/>
      </c>
      <c r="C54" t="n">
        <v>12</v>
      </c>
      <c r="D54" t="inlineStr">
        <is>
          <t>Dec</t>
        </is>
      </c>
      <c r="E54" t="n">
        <v>2025</v>
      </c>
      <c r="F54" t="inlineStr">
        <is>
          <t>W5</t>
        </is>
      </c>
      <c r="G54">
        <f>"W"&amp;WEEKNUM(H54)</f>
        <v/>
      </c>
      <c r="H54" s="3">
        <f>I53+1</f>
        <v/>
      </c>
      <c r="I54" s="3">
        <f>H54+6</f>
        <v/>
      </c>
      <c r="J54" s="1">
        <f>IF(NOT(MONTH(H54)=MONTH(I54)),I54-DATE(E54,C54,1)+1,
IF(MONTH(I54)=C54-1, 0,7))</f>
        <v/>
      </c>
      <c r="K54" s="1">
        <f>7-J54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>
        <v>56</v>
      </c>
      <c r="W54" s="26" t="n">
        <v>56</v>
      </c>
    </row>
    <row r="55">
      <c r="A55">
        <f>D55&amp;"-"&amp;RIGHT(E55,2)</f>
        <v/>
      </c>
      <c r="B55">
        <f>A55&amp;"|"&amp;F55</f>
        <v/>
      </c>
      <c r="C55" t="n">
        <v>1</v>
      </c>
      <c r="D55" t="inlineStr">
        <is>
          <t>Jan</t>
        </is>
      </c>
      <c r="E55" t="n">
        <v>2026</v>
      </c>
      <c r="F55" t="inlineStr">
        <is>
          <t>W1</t>
        </is>
      </c>
      <c r="G55" s="2" t="inlineStr">
        <is>
          <t>W1</t>
        </is>
      </c>
      <c r="H55" s="3">
        <f>I54+1</f>
        <v/>
      </c>
      <c r="I55" s="3">
        <f>H55+6</f>
        <v/>
      </c>
      <c r="J55" s="1">
        <f>IF(NOT(MONTH(H55)=MONTH(I55)),I55-DATE(E55,C55,1)+1,
IF(MONTH(I55)=C55-1, 0,7))</f>
        <v/>
      </c>
      <c r="K55" s="1">
        <f>7-J55</f>
        <v/>
      </c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>
        <v>56</v>
      </c>
      <c r="W55" s="26" t="n">
        <v>56</v>
      </c>
    </row>
    <row r="56">
      <c r="A56">
        <f>D56&amp;"-"&amp;RIGHT(E56,2)</f>
        <v/>
      </c>
      <c r="B56">
        <f>A56&amp;"|"&amp;F56</f>
        <v/>
      </c>
      <c r="C56" t="n">
        <v>1</v>
      </c>
      <c r="D56" t="inlineStr">
        <is>
          <t>Jan</t>
        </is>
      </c>
      <c r="E56" t="n">
        <v>2026</v>
      </c>
      <c r="F56" t="inlineStr">
        <is>
          <t>W2</t>
        </is>
      </c>
      <c r="G56" t="inlineStr">
        <is>
          <t>W2</t>
        </is>
      </c>
      <c r="H56" s="3">
        <f>I55+1</f>
        <v/>
      </c>
      <c r="I56" s="3">
        <f>H56+6</f>
        <v/>
      </c>
      <c r="J56" s="1">
        <f>IF(NOT(MONTH(H56)=MONTH(I56)),I56-DATE(E56,C56,1)+1,
IF(MONTH(I56)=C56-1, 0,7))</f>
        <v/>
      </c>
      <c r="K56" s="1">
        <f>7-J56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>
        <v>56</v>
      </c>
      <c r="W56" s="26" t="n">
        <v>56</v>
      </c>
    </row>
    <row r="57">
      <c r="A57">
        <f>D57&amp;"-"&amp;RIGHT(E57,2)</f>
        <v/>
      </c>
      <c r="B57">
        <f>A57&amp;"|"&amp;F57</f>
        <v/>
      </c>
      <c r="C57" t="n">
        <v>1</v>
      </c>
      <c r="D57" t="inlineStr">
        <is>
          <t>Jan</t>
        </is>
      </c>
      <c r="E57" t="n">
        <v>2026</v>
      </c>
      <c r="F57" t="inlineStr">
        <is>
          <t>W3</t>
        </is>
      </c>
      <c r="G57" t="inlineStr">
        <is>
          <t>W3</t>
        </is>
      </c>
      <c r="H57" s="3">
        <f>I56+1</f>
        <v/>
      </c>
      <c r="I57" s="3">
        <f>H57+6</f>
        <v/>
      </c>
      <c r="J57" s="1">
        <f>IF(NOT(MONTH(H57)=MONTH(I57)),I57-DATE(E57,C57,1)+1,
IF(MONTH(I57)=C57-1, 0,7))</f>
        <v/>
      </c>
      <c r="K57" s="1">
        <f>7-J57</f>
        <v/>
      </c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>
        <v>56</v>
      </c>
      <c r="W57" s="26" t="n">
        <v>56</v>
      </c>
    </row>
    <row r="58">
      <c r="A58">
        <f>D58&amp;"-"&amp;RIGHT(E58,2)</f>
        <v/>
      </c>
      <c r="B58">
        <f>A58&amp;"|"&amp;F58</f>
        <v/>
      </c>
      <c r="C58" t="n">
        <v>1</v>
      </c>
      <c r="D58" t="inlineStr">
        <is>
          <t>Jan</t>
        </is>
      </c>
      <c r="E58" t="n">
        <v>2026</v>
      </c>
      <c r="F58" t="inlineStr">
        <is>
          <t>W4</t>
        </is>
      </c>
      <c r="G58" t="inlineStr">
        <is>
          <t>W4</t>
        </is>
      </c>
      <c r="H58" s="3">
        <f>I57+1</f>
        <v/>
      </c>
      <c r="I58" s="3">
        <f>H58+6</f>
        <v/>
      </c>
      <c r="J58" s="1">
        <f>IF(NOT(MONTH(H58)=MONTH(I58)),I58-DATE(E58,C58,1)+1,
IF(MONTH(I58)=C58-1, 0,7))</f>
        <v/>
      </c>
      <c r="K58" s="1">
        <f>7-J58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>
        <v>56</v>
      </c>
      <c r="W58" s="26" t="n">
        <v>56</v>
      </c>
    </row>
    <row r="59">
      <c r="A59">
        <f>D59&amp;"-"&amp;RIGHT(E59,2)</f>
        <v/>
      </c>
      <c r="B59">
        <f>A59&amp;"|"&amp;F59</f>
        <v/>
      </c>
      <c r="C59" t="n">
        <v>2</v>
      </c>
      <c r="D59" t="inlineStr">
        <is>
          <t>Feb</t>
        </is>
      </c>
      <c r="E59" t="n">
        <v>2026</v>
      </c>
      <c r="F59" t="inlineStr">
        <is>
          <t>W1</t>
        </is>
      </c>
      <c r="G59" t="inlineStr">
        <is>
          <t>W5</t>
        </is>
      </c>
      <c r="H59" s="3">
        <f>I58+1</f>
        <v/>
      </c>
      <c r="I59" s="3">
        <f>H59+6</f>
        <v/>
      </c>
      <c r="J59" s="1">
        <f>IF(NOT(MONTH(H59)=MONTH(I59)),I59-DATE(E59,C59,1)+1,
IF(MONTH(I59)=C59-1, 0,7))</f>
        <v/>
      </c>
      <c r="K59" s="1">
        <f>7-J59</f>
        <v/>
      </c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>
        <v>56</v>
      </c>
      <c r="W59" s="26" t="n">
        <v>56</v>
      </c>
    </row>
    <row r="60">
      <c r="A60">
        <f>D60&amp;"-"&amp;RIGHT(E60,2)</f>
        <v/>
      </c>
      <c r="B60">
        <f>A60&amp;"|"&amp;F60</f>
        <v/>
      </c>
      <c r="C60" t="n">
        <v>2</v>
      </c>
      <c r="D60" t="inlineStr">
        <is>
          <t>Feb</t>
        </is>
      </c>
      <c r="E60" t="n">
        <v>2026</v>
      </c>
      <c r="F60" t="inlineStr">
        <is>
          <t>W2</t>
        </is>
      </c>
      <c r="G60" t="inlineStr">
        <is>
          <t>W6</t>
        </is>
      </c>
      <c r="H60" s="3">
        <f>I59+1</f>
        <v/>
      </c>
      <c r="I60" s="3">
        <f>H60+6</f>
        <v/>
      </c>
      <c r="J60" s="1">
        <f>IF(NOT(MONTH(H60)=MONTH(I60)),I60-DATE(E60,C60,1)+1,
IF(MONTH(I60)=C60-1, 0,7))</f>
        <v/>
      </c>
      <c r="K60" s="1">
        <f>7-J60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>
        <v>56</v>
      </c>
      <c r="W60" s="26" t="n">
        <v>56</v>
      </c>
    </row>
    <row r="61">
      <c r="A61">
        <f>D61&amp;"-"&amp;RIGHT(E61,2)</f>
        <v/>
      </c>
      <c r="B61">
        <f>A61&amp;"|"&amp;F61</f>
        <v/>
      </c>
      <c r="C61" t="n">
        <v>2</v>
      </c>
      <c r="D61" t="inlineStr">
        <is>
          <t>Feb</t>
        </is>
      </c>
      <c r="E61" t="n">
        <v>2026</v>
      </c>
      <c r="F61" t="inlineStr">
        <is>
          <t>W3</t>
        </is>
      </c>
      <c r="G61" t="inlineStr">
        <is>
          <t>W7</t>
        </is>
      </c>
      <c r="H61" s="3">
        <f>I60+1</f>
        <v/>
      </c>
      <c r="I61" s="3">
        <f>H61+6</f>
        <v/>
      </c>
      <c r="J61" s="1">
        <f>IF(NOT(MONTH(H61)=MONTH(I61)),I61-DATE(E61,C61,1)+1,
IF(MONTH(I61)=C61-1, 0,7))</f>
        <v/>
      </c>
      <c r="K61" s="1">
        <f>7-J61</f>
        <v/>
      </c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>
        <v>56</v>
      </c>
      <c r="W61" s="26" t="n">
        <v>56</v>
      </c>
    </row>
    <row r="62">
      <c r="A62">
        <f>D62&amp;"-"&amp;RIGHT(E62,2)</f>
        <v/>
      </c>
      <c r="B62">
        <f>A62&amp;"|"&amp;F62</f>
        <v/>
      </c>
      <c r="C62" t="n">
        <v>2</v>
      </c>
      <c r="D62" t="inlineStr">
        <is>
          <t>Feb</t>
        </is>
      </c>
      <c r="E62" t="n">
        <v>2026</v>
      </c>
      <c r="F62" t="inlineStr">
        <is>
          <t>W4</t>
        </is>
      </c>
      <c r="G62" t="inlineStr">
        <is>
          <t>W8</t>
        </is>
      </c>
      <c r="H62" s="3">
        <f>I61+1</f>
        <v/>
      </c>
      <c r="I62" s="3">
        <f>H62+6</f>
        <v/>
      </c>
      <c r="J62" s="1">
        <f>IF(NOT(MONTH(H62)=MONTH(I62)),I62-DATE(E62,C62,1)+1,
IF(MONTH(I62)=C62-1, 0,7))</f>
        <v/>
      </c>
      <c r="K62" s="1">
        <f>7-J62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>
        <v>56</v>
      </c>
      <c r="W62" s="26" t="n">
        <v>56</v>
      </c>
    </row>
    <row r="63">
      <c r="A63">
        <f>D63&amp;"-"&amp;RIGHT(E63,2)</f>
        <v/>
      </c>
      <c r="B63">
        <f>A63&amp;"|"&amp;F63</f>
        <v/>
      </c>
      <c r="C63" t="n">
        <v>3</v>
      </c>
      <c r="D63" t="inlineStr">
        <is>
          <t>Mar</t>
        </is>
      </c>
      <c r="E63" t="n">
        <v>2026</v>
      </c>
      <c r="F63" t="inlineStr">
        <is>
          <t>W1</t>
        </is>
      </c>
      <c r="G63" t="inlineStr">
        <is>
          <t>W9</t>
        </is>
      </c>
      <c r="H63" s="3">
        <f>I62+1</f>
        <v/>
      </c>
      <c r="I63" s="3">
        <f>H63+6</f>
        <v/>
      </c>
      <c r="J63" s="1">
        <f>IF(NOT(MONTH(H63)=MONTH(I63)),I63-DATE(E63,C63,1)+1,
IF(MONTH(I63)=C63-1, 0,7))</f>
        <v/>
      </c>
      <c r="K63" s="1">
        <f>7-J63</f>
        <v/>
      </c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>
        <v>56</v>
      </c>
      <c r="W63" s="26" t="n">
        <v>56</v>
      </c>
    </row>
    <row r="64">
      <c r="A64">
        <f>D64&amp;"-"&amp;RIGHT(E64,2)</f>
        <v/>
      </c>
      <c r="B64">
        <f>A64&amp;"|"&amp;F64</f>
        <v/>
      </c>
      <c r="C64" t="n">
        <v>3</v>
      </c>
      <c r="D64" t="inlineStr">
        <is>
          <t>Mar</t>
        </is>
      </c>
      <c r="E64" t="n">
        <v>2026</v>
      </c>
      <c r="F64" t="inlineStr">
        <is>
          <t>W2</t>
        </is>
      </c>
      <c r="G64" t="inlineStr">
        <is>
          <t>W10</t>
        </is>
      </c>
      <c r="H64" s="3">
        <f>I63+1</f>
        <v/>
      </c>
      <c r="I64" s="3">
        <f>H64+6</f>
        <v/>
      </c>
      <c r="J64" s="1">
        <f>IF(NOT(MONTH(H64)=MONTH(I64)),I64-DATE(E64,C64,1)+1,
IF(MONTH(I64)=C64-1, 0,7))</f>
        <v/>
      </c>
      <c r="K64" s="1">
        <f>7-J64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>
        <v>56</v>
      </c>
      <c r="W64" s="26" t="n">
        <v>56</v>
      </c>
    </row>
    <row r="65">
      <c r="A65">
        <f>D65&amp;"-"&amp;RIGHT(E65,2)</f>
        <v/>
      </c>
      <c r="B65">
        <f>A65&amp;"|"&amp;F65</f>
        <v/>
      </c>
      <c r="C65" t="n">
        <v>3</v>
      </c>
      <c r="D65" t="inlineStr">
        <is>
          <t>Mar</t>
        </is>
      </c>
      <c r="E65" t="n">
        <v>2026</v>
      </c>
      <c r="F65" t="inlineStr">
        <is>
          <t>W3</t>
        </is>
      </c>
      <c r="G65" t="inlineStr">
        <is>
          <t>W11</t>
        </is>
      </c>
      <c r="H65" s="3">
        <f>I64+1</f>
        <v/>
      </c>
      <c r="I65" s="3">
        <f>H65+6</f>
        <v/>
      </c>
      <c r="J65" s="1">
        <f>IF(NOT(MONTH(H65)=MONTH(I65)),I65-DATE(E65,C65,1)+1,
IF(MONTH(I65)=C65-1, 0,7))</f>
        <v/>
      </c>
      <c r="K65" s="1">
        <f>7-J65</f>
        <v/>
      </c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>
        <v>56</v>
      </c>
      <c r="W65" s="26" t="n">
        <v>56</v>
      </c>
    </row>
    <row r="66">
      <c r="A66">
        <f>D66&amp;"-"&amp;RIGHT(E66,2)</f>
        <v/>
      </c>
      <c r="B66">
        <f>A66&amp;"|"&amp;F66</f>
        <v/>
      </c>
      <c r="C66" t="n">
        <v>3</v>
      </c>
      <c r="D66" t="inlineStr">
        <is>
          <t>Mar</t>
        </is>
      </c>
      <c r="E66" t="n">
        <v>2026</v>
      </c>
      <c r="F66" t="inlineStr">
        <is>
          <t>W4</t>
        </is>
      </c>
      <c r="G66" t="inlineStr">
        <is>
          <t>W12</t>
        </is>
      </c>
      <c r="H66" s="3">
        <f>I65+1</f>
        <v/>
      </c>
      <c r="I66" s="3">
        <f>H66+6</f>
        <v/>
      </c>
      <c r="J66" s="1">
        <f>IF(NOT(MONTH(H66)=MONTH(I66)),I66-DATE(E66,C66,1)+1,
IF(MONTH(I66)=C66-1, 0,7))</f>
        <v/>
      </c>
      <c r="K66" s="1">
        <f>7-J66</f>
        <v/>
      </c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>
        <v>56</v>
      </c>
      <c r="W66" s="26" t="n">
        <v>56</v>
      </c>
    </row>
    <row r="67">
      <c r="A67">
        <f>D67&amp;"-"&amp;RIGHT(E67,2)</f>
        <v/>
      </c>
      <c r="B67">
        <f>A67&amp;"|"&amp;F67</f>
        <v/>
      </c>
      <c r="C67" t="n">
        <v>3</v>
      </c>
      <c r="D67" t="inlineStr">
        <is>
          <t>Mar</t>
        </is>
      </c>
      <c r="E67" t="n">
        <v>2026</v>
      </c>
      <c r="F67" t="inlineStr">
        <is>
          <t>W5</t>
        </is>
      </c>
      <c r="G67" t="inlineStr">
        <is>
          <t>W13</t>
        </is>
      </c>
      <c r="H67" s="3">
        <f>I66+1</f>
        <v/>
      </c>
      <c r="I67" s="3">
        <f>H67+6</f>
        <v/>
      </c>
      <c r="J67" s="1">
        <f>IF(NOT(MONTH(H67)=MONTH(I67)),I67-DATE(E67,C67,1)+1,
IF(MONTH(I67)=C67-1, 0,7))</f>
        <v/>
      </c>
      <c r="K67" s="1">
        <f>7-J67</f>
        <v/>
      </c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>
        <v>56</v>
      </c>
      <c r="W67" s="26" t="n">
        <v>56</v>
      </c>
    </row>
    <row r="68">
      <c r="A68">
        <f>D68&amp;"-"&amp;RIGHT(E68,2)</f>
        <v/>
      </c>
      <c r="B68">
        <f>A68&amp;"|"&amp;F68</f>
        <v/>
      </c>
      <c r="C68" t="n">
        <v>4</v>
      </c>
      <c r="D68" t="inlineStr">
        <is>
          <t>Apr</t>
        </is>
      </c>
      <c r="E68" t="n">
        <v>2026</v>
      </c>
      <c r="F68" t="inlineStr">
        <is>
          <t>W1</t>
        </is>
      </c>
      <c r="G68" t="inlineStr">
        <is>
          <t>W14</t>
        </is>
      </c>
      <c r="H68" s="3">
        <f>I67+1</f>
        <v/>
      </c>
      <c r="I68" s="3">
        <f>H68+6</f>
        <v/>
      </c>
      <c r="J68" s="1">
        <f>IF(NOT(MONTH(H68)=MONTH(I68)),I68-DATE(E68,C68,1)+1,
IF(MONTH(I68)=C68-1, 0,7))</f>
        <v/>
      </c>
      <c r="K68" s="1">
        <f>7-J68</f>
        <v/>
      </c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>
        <v>56</v>
      </c>
      <c r="W68" s="26" t="n">
        <v>56</v>
      </c>
    </row>
    <row r="69">
      <c r="A69">
        <f>D69&amp;"-"&amp;RIGHT(E69,2)</f>
        <v/>
      </c>
      <c r="B69">
        <f>A69&amp;"|"&amp;F69</f>
        <v/>
      </c>
      <c r="C69" t="n">
        <v>4</v>
      </c>
      <c r="D69" t="inlineStr">
        <is>
          <t>Apr</t>
        </is>
      </c>
      <c r="E69" t="n">
        <v>2026</v>
      </c>
      <c r="F69" t="inlineStr">
        <is>
          <t>W2</t>
        </is>
      </c>
      <c r="G69" t="inlineStr">
        <is>
          <t>W15</t>
        </is>
      </c>
      <c r="H69" s="3">
        <f>I68+1</f>
        <v/>
      </c>
      <c r="I69" s="3">
        <f>H69+6</f>
        <v/>
      </c>
      <c r="J69" s="1">
        <f>IF(NOT(MONTH(H69)=MONTH(I69)),I69-DATE(E69,C69,1)+1,
IF(MONTH(I69)=C69-1, 0,7))</f>
        <v/>
      </c>
      <c r="K69" s="1">
        <f>7-J69</f>
        <v/>
      </c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>
        <v>56</v>
      </c>
      <c r="W69" s="26" t="n">
        <v>56</v>
      </c>
    </row>
    <row r="70">
      <c r="A70">
        <f>D70&amp;"-"&amp;RIGHT(E70,2)</f>
        <v/>
      </c>
      <c r="B70">
        <f>A70&amp;"|"&amp;F70</f>
        <v/>
      </c>
      <c r="C70" t="n">
        <v>4</v>
      </c>
      <c r="D70" t="inlineStr">
        <is>
          <t>Apr</t>
        </is>
      </c>
      <c r="E70" t="n">
        <v>2026</v>
      </c>
      <c r="F70" t="inlineStr">
        <is>
          <t>W3</t>
        </is>
      </c>
      <c r="G70" t="inlineStr">
        <is>
          <t>W16</t>
        </is>
      </c>
      <c r="H70" s="3">
        <f>I69+1</f>
        <v/>
      </c>
      <c r="I70" s="3">
        <f>H70+6</f>
        <v/>
      </c>
      <c r="J70" s="1">
        <f>IF(NOT(MONTH(H70)=MONTH(I70)),I70-DATE(E70,C70,1)+1,
IF(MONTH(I70)=C70-1, 0,7))</f>
        <v/>
      </c>
      <c r="K70" s="1">
        <f>7-J70</f>
        <v/>
      </c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>
        <v>56</v>
      </c>
      <c r="W70" s="26" t="n">
        <v>56</v>
      </c>
    </row>
    <row r="71">
      <c r="A71">
        <f>D71&amp;"-"&amp;RIGHT(E71,2)</f>
        <v/>
      </c>
      <c r="B71">
        <f>A71&amp;"|"&amp;F71</f>
        <v/>
      </c>
      <c r="C71" t="n">
        <v>4</v>
      </c>
      <c r="D71" t="inlineStr">
        <is>
          <t>Apr</t>
        </is>
      </c>
      <c r="E71" t="n">
        <v>2026</v>
      </c>
      <c r="F71" t="inlineStr">
        <is>
          <t>W4</t>
        </is>
      </c>
      <c r="G71" t="inlineStr">
        <is>
          <t>W17</t>
        </is>
      </c>
      <c r="H71" s="3">
        <f>I70+1</f>
        <v/>
      </c>
      <c r="I71" s="3">
        <f>H71+6</f>
        <v/>
      </c>
      <c r="J71" s="1">
        <f>IF(NOT(MONTH(H71)=MONTH(I71)),I71-DATE(E71,C71,1)+1,
IF(MONTH(I71)=C71-1, 0,7))</f>
        <v/>
      </c>
      <c r="K71" s="1">
        <f>7-J71</f>
        <v/>
      </c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>
        <v>56</v>
      </c>
      <c r="W71" s="26" t="n">
        <v>56</v>
      </c>
    </row>
    <row r="72">
      <c r="A72">
        <f>D72&amp;"-"&amp;RIGHT(E72,2)</f>
        <v/>
      </c>
      <c r="B72">
        <f>A72&amp;"|"&amp;F72</f>
        <v/>
      </c>
      <c r="C72" t="n">
        <v>5</v>
      </c>
      <c r="D72" t="inlineStr">
        <is>
          <t>May</t>
        </is>
      </c>
      <c r="E72" t="n">
        <v>2026</v>
      </c>
      <c r="F72" t="inlineStr">
        <is>
          <t>W1</t>
        </is>
      </c>
      <c r="G72" t="inlineStr">
        <is>
          <t>W18</t>
        </is>
      </c>
      <c r="H72" s="3">
        <f>I71+1</f>
        <v/>
      </c>
      <c r="I72" s="3">
        <f>H72+6</f>
        <v/>
      </c>
      <c r="J72" s="1">
        <f>IF(NOT(MONTH(H72)=MONTH(I72)),I72-DATE(E72,C72,1)+1,
IF(MONTH(I72)=C72-1, 0,7))</f>
        <v/>
      </c>
      <c r="K72" s="1">
        <f>7-J72</f>
        <v/>
      </c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>
        <v>56</v>
      </c>
      <c r="W72" s="26" t="n">
        <v>56</v>
      </c>
    </row>
    <row r="73">
      <c r="A73">
        <f>D73&amp;"-"&amp;RIGHT(E73,2)</f>
        <v/>
      </c>
      <c r="B73">
        <f>A73&amp;"|"&amp;F73</f>
        <v/>
      </c>
      <c r="C73" t="n">
        <v>5</v>
      </c>
      <c r="D73" t="inlineStr">
        <is>
          <t>May</t>
        </is>
      </c>
      <c r="E73" t="n">
        <v>2026</v>
      </c>
      <c r="F73" t="inlineStr">
        <is>
          <t>W2</t>
        </is>
      </c>
      <c r="G73" t="inlineStr">
        <is>
          <t>W19</t>
        </is>
      </c>
      <c r="H73" s="3">
        <f>I72+1</f>
        <v/>
      </c>
      <c r="I73" s="3">
        <f>H73+6</f>
        <v/>
      </c>
      <c r="J73" s="1">
        <f>IF(NOT(MONTH(H73)=MONTH(I73)),I73-DATE(E73,C73,1)+1,
IF(MONTH(I73)=C73-1, 0,7))</f>
        <v/>
      </c>
      <c r="K73" s="1">
        <f>7-J73</f>
        <v/>
      </c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>
        <v>56</v>
      </c>
      <c r="W73" s="26" t="n">
        <v>56</v>
      </c>
    </row>
    <row r="74">
      <c r="A74">
        <f>D74&amp;"-"&amp;RIGHT(E74,2)</f>
        <v/>
      </c>
      <c r="B74">
        <f>A74&amp;"|"&amp;F74</f>
        <v/>
      </c>
      <c r="C74" t="n">
        <v>5</v>
      </c>
      <c r="D74" t="inlineStr">
        <is>
          <t>May</t>
        </is>
      </c>
      <c r="E74" t="n">
        <v>2026</v>
      </c>
      <c r="F74" t="inlineStr">
        <is>
          <t>W3</t>
        </is>
      </c>
      <c r="G74" t="inlineStr">
        <is>
          <t>W20</t>
        </is>
      </c>
      <c r="H74" s="3">
        <f>I73+1</f>
        <v/>
      </c>
      <c r="I74" s="3">
        <f>H74+6</f>
        <v/>
      </c>
      <c r="J74" s="1">
        <f>IF(NOT(MONTH(H74)=MONTH(I74)),I74-DATE(E74,C74,1)+1,
IF(MONTH(I74)=C74-1, 0,7))</f>
        <v/>
      </c>
      <c r="K74" s="1">
        <f>7-J74</f>
        <v/>
      </c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>
        <v>56</v>
      </c>
      <c r="W74" s="26" t="n">
        <v>56</v>
      </c>
    </row>
    <row r="75">
      <c r="A75">
        <f>D75&amp;"-"&amp;RIGHT(E75,2)</f>
        <v/>
      </c>
      <c r="B75">
        <f>A75&amp;"|"&amp;F75</f>
        <v/>
      </c>
      <c r="C75" t="n">
        <v>5</v>
      </c>
      <c r="D75" t="inlineStr">
        <is>
          <t>May</t>
        </is>
      </c>
      <c r="E75" t="n">
        <v>2026</v>
      </c>
      <c r="F75" t="inlineStr">
        <is>
          <t>W4</t>
        </is>
      </c>
      <c r="G75" t="inlineStr">
        <is>
          <t>W21</t>
        </is>
      </c>
      <c r="H75" s="3">
        <f>I74+1</f>
        <v/>
      </c>
      <c r="I75" s="3">
        <f>H75+6</f>
        <v/>
      </c>
      <c r="J75" s="1">
        <f>IF(NOT(MONTH(H75)=MONTH(I75)),I75-DATE(E75,C75,1)+1,
IF(MONTH(I75)=C75-1, 0,7))</f>
        <v/>
      </c>
      <c r="K75" s="1">
        <f>7-J75</f>
        <v/>
      </c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>
        <v>56</v>
      </c>
      <c r="W75" s="26" t="n">
        <v>56</v>
      </c>
    </row>
    <row r="76">
      <c r="A76">
        <f>D76&amp;"-"&amp;RIGHT(E76,2)</f>
        <v/>
      </c>
      <c r="B76">
        <f>A76&amp;"|"&amp;F76</f>
        <v/>
      </c>
      <c r="C76" t="n">
        <v>6</v>
      </c>
      <c r="D76" t="inlineStr">
        <is>
          <t>Jun</t>
        </is>
      </c>
      <c r="E76" t="n">
        <v>2026</v>
      </c>
      <c r="F76" t="inlineStr">
        <is>
          <t>W1</t>
        </is>
      </c>
      <c r="G76" t="inlineStr">
        <is>
          <t>W22</t>
        </is>
      </c>
      <c r="H76" s="3">
        <f>I75+1</f>
        <v/>
      </c>
      <c r="I76" s="3">
        <f>H76+6</f>
        <v/>
      </c>
      <c r="J76" s="1">
        <f>IF(NOT(MONTH(H76)=MONTH(I76)),I76-DATE(E76,C76,1)+1,
IF(MONTH(I76)=C76-1, 0,7))</f>
        <v/>
      </c>
      <c r="K76" s="1">
        <f>7-J76</f>
        <v/>
      </c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>
        <v>56</v>
      </c>
      <c r="W76" s="26" t="n">
        <v>56</v>
      </c>
    </row>
    <row r="77">
      <c r="A77">
        <f>D77&amp;"-"&amp;RIGHT(E77,2)</f>
        <v/>
      </c>
      <c r="B77">
        <f>A77&amp;"|"&amp;F77</f>
        <v/>
      </c>
      <c r="C77" t="n">
        <v>6</v>
      </c>
      <c r="D77" t="inlineStr">
        <is>
          <t>Jun</t>
        </is>
      </c>
      <c r="E77" t="n">
        <v>2026</v>
      </c>
      <c r="F77" t="inlineStr">
        <is>
          <t>W2</t>
        </is>
      </c>
      <c r="G77" t="inlineStr">
        <is>
          <t>W23</t>
        </is>
      </c>
      <c r="H77" s="3">
        <f>I76+1</f>
        <v/>
      </c>
      <c r="I77" s="3">
        <f>H77+6</f>
        <v/>
      </c>
      <c r="J77" s="1">
        <f>IF(NOT(MONTH(H77)=MONTH(I77)),I77-DATE(E77,C77,1)+1,
IF(MONTH(I77)=C77-1, 0,7))</f>
        <v/>
      </c>
      <c r="K77" s="1">
        <f>7-J77</f>
        <v/>
      </c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>
        <v>56</v>
      </c>
      <c r="W77" s="26" t="n">
        <v>56</v>
      </c>
    </row>
    <row r="78">
      <c r="A78">
        <f>D78&amp;"-"&amp;RIGHT(E78,2)</f>
        <v/>
      </c>
      <c r="B78">
        <f>A78&amp;"|"&amp;F78</f>
        <v/>
      </c>
      <c r="C78" t="n">
        <v>6</v>
      </c>
      <c r="D78" t="inlineStr">
        <is>
          <t>Jun</t>
        </is>
      </c>
      <c r="E78" t="n">
        <v>2026</v>
      </c>
      <c r="F78" t="inlineStr">
        <is>
          <t>W3</t>
        </is>
      </c>
      <c r="G78" t="inlineStr">
        <is>
          <t>W24</t>
        </is>
      </c>
      <c r="H78" s="3">
        <f>I77+1</f>
        <v/>
      </c>
      <c r="I78" s="3">
        <f>H78+6</f>
        <v/>
      </c>
      <c r="J78" s="1">
        <f>IF(NOT(MONTH(H78)=MONTH(I78)),I78-DATE(E78,C78,1)+1,
IF(MONTH(I78)=C78-1, 0,7))</f>
        <v/>
      </c>
      <c r="K78" s="1">
        <f>7-J78</f>
        <v/>
      </c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>
        <v>56</v>
      </c>
      <c r="W78" s="26" t="n">
        <v>56</v>
      </c>
    </row>
    <row r="79">
      <c r="A79">
        <f>D79&amp;"-"&amp;RIGHT(E79,2)</f>
        <v/>
      </c>
      <c r="B79">
        <f>A79&amp;"|"&amp;F79</f>
        <v/>
      </c>
      <c r="C79" t="n">
        <v>6</v>
      </c>
      <c r="D79" t="inlineStr">
        <is>
          <t>Jun</t>
        </is>
      </c>
      <c r="E79" t="n">
        <v>2026</v>
      </c>
      <c r="F79" t="inlineStr">
        <is>
          <t>W4</t>
        </is>
      </c>
      <c r="G79" t="inlineStr">
        <is>
          <t>W25</t>
        </is>
      </c>
      <c r="H79" s="3">
        <f>I78+1</f>
        <v/>
      </c>
      <c r="I79" s="3">
        <f>H79+6</f>
        <v/>
      </c>
      <c r="J79" s="1">
        <f>IF(NOT(MONTH(H79)=MONTH(I79)),I79-DATE(E79,C79,1)+1,
IF(MONTH(I79)=C79-1, 0,7))</f>
        <v/>
      </c>
      <c r="K79" s="1">
        <f>7-J79</f>
        <v/>
      </c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>
        <v>56</v>
      </c>
      <c r="W79" s="26" t="n">
        <v>56</v>
      </c>
    </row>
    <row r="80">
      <c r="A80">
        <f>D80&amp;"-"&amp;RIGHT(E80,2)</f>
        <v/>
      </c>
      <c r="B80">
        <f>A80&amp;"|"&amp;F80</f>
        <v/>
      </c>
      <c r="C80" t="n">
        <v>6</v>
      </c>
      <c r="D80" t="inlineStr">
        <is>
          <t>Jun</t>
        </is>
      </c>
      <c r="E80" t="n">
        <v>2026</v>
      </c>
      <c r="F80" t="inlineStr">
        <is>
          <t>W5</t>
        </is>
      </c>
      <c r="G80" t="inlineStr">
        <is>
          <t>W26</t>
        </is>
      </c>
      <c r="H80" s="3">
        <f>I79+1</f>
        <v/>
      </c>
      <c r="I80" s="3">
        <f>H80+6</f>
        <v/>
      </c>
      <c r="J80" s="1">
        <f>IF(NOT(MONTH(H80)=MONTH(I80)),I80-DATE(E80,C80,1)+1,
    IF(MONTH(I80)=C80-1, 0,7))</f>
        <v/>
      </c>
      <c r="K80" s="1">
        <f>7-J80</f>
        <v/>
      </c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>
        <v>56</v>
      </c>
      <c r="W80" s="26" t="n">
        <v>56</v>
      </c>
    </row>
    <row r="81">
      <c r="A81">
        <f>D81&amp;"-"&amp;RIGHT(E81,2)</f>
        <v/>
      </c>
      <c r="B81">
        <f>A81&amp;"|"&amp;F81</f>
        <v/>
      </c>
      <c r="C81" t="n">
        <v>7</v>
      </c>
      <c r="D81" t="inlineStr">
        <is>
          <t>Jul</t>
        </is>
      </c>
      <c r="E81" t="n">
        <v>2026</v>
      </c>
      <c r="F81" t="inlineStr">
        <is>
          <t>W1</t>
        </is>
      </c>
      <c r="G81" t="inlineStr">
        <is>
          <t>W27</t>
        </is>
      </c>
      <c r="H81" s="3">
        <f>I80+1</f>
        <v/>
      </c>
      <c r="I81" s="3">
        <f>H81+6</f>
        <v/>
      </c>
      <c r="J81" s="1">
        <f>IF(NOT(MONTH(H81)=MONTH(I81)),I81-DATE(E81,C81,1)+1,
IF(MONTH(I81)=C81-1, 0,7))</f>
        <v/>
      </c>
      <c r="K81" s="1">
        <f>7-J81</f>
        <v/>
      </c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>
        <v>56</v>
      </c>
      <c r="W81" s="26" t="n">
        <v>56</v>
      </c>
    </row>
    <row r="82">
      <c r="A82">
        <f>D82&amp;"-"&amp;RIGHT(E82,2)</f>
        <v/>
      </c>
      <c r="B82">
        <f>A82&amp;"|"&amp;F82</f>
        <v/>
      </c>
      <c r="C82" t="n">
        <v>7</v>
      </c>
      <c r="D82" t="inlineStr">
        <is>
          <t>Jul</t>
        </is>
      </c>
      <c r="E82" t="n">
        <v>2026</v>
      </c>
      <c r="F82" t="inlineStr">
        <is>
          <t>W2</t>
        </is>
      </c>
      <c r="G82" t="inlineStr">
        <is>
          <t>W28</t>
        </is>
      </c>
      <c r="H82" s="3">
        <f>I81+1</f>
        <v/>
      </c>
      <c r="I82" s="3">
        <f>H82+6</f>
        <v/>
      </c>
      <c r="J82" s="1">
        <f>IF(NOT(MONTH(H82)=MONTH(I82)),I82-DATE(E82,C82,1)+1,
IF(MONTH(I82)=C82-1, 0,7))</f>
        <v/>
      </c>
      <c r="K82" s="1">
        <f>7-J82</f>
        <v/>
      </c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>
        <v>56</v>
      </c>
      <c r="W82" s="26" t="n">
        <v>56</v>
      </c>
    </row>
    <row r="83">
      <c r="A83">
        <f>D83&amp;"-"&amp;RIGHT(E83,2)</f>
        <v/>
      </c>
      <c r="B83">
        <f>A83&amp;"|"&amp;F83</f>
        <v/>
      </c>
      <c r="C83" t="n">
        <v>7</v>
      </c>
      <c r="D83" t="inlineStr">
        <is>
          <t>Jul</t>
        </is>
      </c>
      <c r="E83" t="n">
        <v>2026</v>
      </c>
      <c r="F83" t="inlineStr">
        <is>
          <t>W3</t>
        </is>
      </c>
      <c r="G83" t="inlineStr">
        <is>
          <t>W29</t>
        </is>
      </c>
      <c r="H83" s="3">
        <f>I82+1</f>
        <v/>
      </c>
      <c r="I83" s="3">
        <f>H83+6</f>
        <v/>
      </c>
      <c r="J83" s="1">
        <f>IF(NOT(MONTH(H83)=MONTH(I83)),I83-DATE(E83,C83,1)+1,
IF(MONTH(I83)=C83-1, 0,7))</f>
        <v/>
      </c>
      <c r="K83" s="1">
        <f>7-J83</f>
        <v/>
      </c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>
        <v>56</v>
      </c>
      <c r="W83" s="26" t="n">
        <v>56</v>
      </c>
    </row>
    <row r="84">
      <c r="A84">
        <f>D84&amp;"-"&amp;RIGHT(E84,2)</f>
        <v/>
      </c>
      <c r="B84">
        <f>A84&amp;"|"&amp;F84</f>
        <v/>
      </c>
      <c r="C84" t="n">
        <v>7</v>
      </c>
      <c r="D84" t="inlineStr">
        <is>
          <t>Jul</t>
        </is>
      </c>
      <c r="E84" t="n">
        <v>2026</v>
      </c>
      <c r="F84" t="inlineStr">
        <is>
          <t>W4</t>
        </is>
      </c>
      <c r="G84" t="inlineStr">
        <is>
          <t>W30</t>
        </is>
      </c>
      <c r="H84" s="3">
        <f>I83+1</f>
        <v/>
      </c>
      <c r="I84" s="3">
        <f>H84+6</f>
        <v/>
      </c>
      <c r="J84" s="1">
        <f>IF(NOT(MONTH(H84)=MONTH(I84)),I84-DATE(E84,C84,1)+1,
IF(MONTH(I84)=C84-1, 0,7))</f>
        <v/>
      </c>
      <c r="K84" s="1">
        <f>7-J84</f>
        <v/>
      </c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>
        <v>56</v>
      </c>
      <c r="W84" s="26" t="n">
        <v>56</v>
      </c>
    </row>
    <row r="85">
      <c r="A85">
        <f>D85&amp;"-"&amp;RIGHT(E85,2)</f>
        <v/>
      </c>
      <c r="B85">
        <f>A85&amp;"|"&amp;F85</f>
        <v/>
      </c>
      <c r="C85" t="n">
        <v>8</v>
      </c>
      <c r="D85" t="inlineStr">
        <is>
          <t>Aug</t>
        </is>
      </c>
      <c r="E85" t="n">
        <v>2026</v>
      </c>
      <c r="F85" t="inlineStr">
        <is>
          <t>W1</t>
        </is>
      </c>
      <c r="G85" t="inlineStr">
        <is>
          <t>W31</t>
        </is>
      </c>
      <c r="H85" s="3">
        <f>I84+1</f>
        <v/>
      </c>
      <c r="I85" s="3">
        <f>H85+6</f>
        <v/>
      </c>
      <c r="J85" s="1">
        <f>IF(NOT(MONTH(H85)=MONTH(I85)),I85-DATE(E85,C85,1)+1,
IF(MONTH(I85)=C85-1, 0,7))</f>
        <v/>
      </c>
      <c r="K85" s="1">
        <f>7-J85</f>
        <v/>
      </c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>
        <v>56</v>
      </c>
      <c r="W85" s="26" t="n">
        <v>56</v>
      </c>
    </row>
    <row r="86">
      <c r="A86">
        <f>D86&amp;"-"&amp;RIGHT(E86,2)</f>
        <v/>
      </c>
      <c r="B86">
        <f>A86&amp;"|"&amp;F86</f>
        <v/>
      </c>
      <c r="C86" t="n">
        <v>8</v>
      </c>
      <c r="D86" t="inlineStr">
        <is>
          <t>Aug</t>
        </is>
      </c>
      <c r="E86" t="n">
        <v>2026</v>
      </c>
      <c r="F86" t="inlineStr">
        <is>
          <t>W2</t>
        </is>
      </c>
      <c r="G86" t="inlineStr">
        <is>
          <t>W32</t>
        </is>
      </c>
      <c r="H86" s="3">
        <f>I85+1</f>
        <v/>
      </c>
      <c r="I86" s="3">
        <f>H86+6</f>
        <v/>
      </c>
      <c r="J86" s="1">
        <f>IF(NOT(MONTH(H86)=MONTH(I86)),I86-DATE(E86,C86,1)+1,
IF(MONTH(I86)=C86-1, 0,7))</f>
        <v/>
      </c>
      <c r="K86" s="1">
        <f>7-J86</f>
        <v/>
      </c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>
        <v>56</v>
      </c>
      <c r="W86" s="26" t="n">
        <v>56</v>
      </c>
    </row>
    <row r="87">
      <c r="A87">
        <f>D87&amp;"-"&amp;RIGHT(E87,2)</f>
        <v/>
      </c>
      <c r="B87">
        <f>A87&amp;"|"&amp;F87</f>
        <v/>
      </c>
      <c r="C87" t="n">
        <v>8</v>
      </c>
      <c r="D87" t="inlineStr">
        <is>
          <t>Aug</t>
        </is>
      </c>
      <c r="E87" t="n">
        <v>2026</v>
      </c>
      <c r="F87" t="inlineStr">
        <is>
          <t>W3</t>
        </is>
      </c>
      <c r="G87" t="inlineStr">
        <is>
          <t>W33</t>
        </is>
      </c>
      <c r="H87" s="3">
        <f>I86+1</f>
        <v/>
      </c>
      <c r="I87" s="3">
        <f>H87+6</f>
        <v/>
      </c>
      <c r="J87" s="1">
        <f>IF(NOT(MONTH(H87)=MONTH(I87)),I87-DATE(E87,C87,1)+1,
IF(MONTH(I87)=C87-1, 0,7))</f>
        <v/>
      </c>
      <c r="K87" s="1">
        <f>7-J87</f>
        <v/>
      </c>
      <c r="L87" s="26" t="n">
        <v>24</v>
      </c>
      <c r="M87" s="26" t="n">
        <v>24</v>
      </c>
      <c r="N87" s="26" t="n">
        <v>24</v>
      </c>
      <c r="O87" s="26" t="n">
        <v>24</v>
      </c>
      <c r="P87" s="26" t="n">
        <v>24</v>
      </c>
      <c r="Q87" s="26" t="n">
        <v>24</v>
      </c>
      <c r="R87" s="26" t="n">
        <v>24</v>
      </c>
      <c r="S87" s="26" t="n">
        <v>24</v>
      </c>
      <c r="T87" s="26" t="n">
        <v>24</v>
      </c>
      <c r="U87" s="26" t="n"/>
      <c r="V87" s="26" t="n">
        <v>56</v>
      </c>
      <c r="W87" s="26" t="n">
        <v>56</v>
      </c>
    </row>
    <row r="88">
      <c r="A88">
        <f>D88&amp;"-"&amp;RIGHT(E88,2)</f>
        <v/>
      </c>
      <c r="B88">
        <f>A88&amp;"|"&amp;F88</f>
        <v/>
      </c>
      <c r="C88" t="n">
        <v>8</v>
      </c>
      <c r="D88" t="inlineStr">
        <is>
          <t>Aug</t>
        </is>
      </c>
      <c r="E88" t="n">
        <v>2026</v>
      </c>
      <c r="F88" t="inlineStr">
        <is>
          <t>W4</t>
        </is>
      </c>
      <c r="G88" t="inlineStr">
        <is>
          <t>W34</t>
        </is>
      </c>
      <c r="H88" s="3">
        <f>I87+1</f>
        <v/>
      </c>
      <c r="I88" s="3">
        <f>H88+6</f>
        <v/>
      </c>
      <c r="J88" s="1">
        <f>IF(NOT(MONTH(H88)=MONTH(I88)),I88-DATE(E88,C88,1)+1,
IF(MONTH(I88)=C88-1, 0,7))</f>
        <v/>
      </c>
      <c r="K88" s="1">
        <f>7-J88</f>
        <v/>
      </c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>
        <v>56</v>
      </c>
      <c r="W88" s="26" t="n">
        <v>56</v>
      </c>
    </row>
    <row r="89">
      <c r="A89">
        <f>D89&amp;"-"&amp;RIGHT(E89,2)</f>
        <v/>
      </c>
      <c r="B89">
        <f>A89&amp;"|"&amp;F89</f>
        <v/>
      </c>
      <c r="C89" t="n">
        <v>9</v>
      </c>
      <c r="D89" t="inlineStr">
        <is>
          <t>Sep</t>
        </is>
      </c>
      <c r="E89" t="n">
        <v>2026</v>
      </c>
      <c r="F89" t="inlineStr">
        <is>
          <t>W1</t>
        </is>
      </c>
      <c r="G89" t="inlineStr">
        <is>
          <t>W35</t>
        </is>
      </c>
      <c r="H89" s="3">
        <f>I88+1</f>
        <v/>
      </c>
      <c r="I89" s="3">
        <f>H89+6</f>
        <v/>
      </c>
      <c r="J89" s="1">
        <f>IF(NOT(MONTH(H89)=MONTH(I89)),I89-DATE(E89,C89,1)+1,
IF(MONTH(I89)=C89-1, 0,7))</f>
        <v/>
      </c>
      <c r="K89" s="1">
        <f>7-J89</f>
        <v/>
      </c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>
        <v>56</v>
      </c>
      <c r="W89" s="26" t="n">
        <v>56</v>
      </c>
    </row>
    <row r="90">
      <c r="A90">
        <f>D90&amp;"-"&amp;RIGHT(E90,2)</f>
        <v/>
      </c>
      <c r="B90">
        <f>A90&amp;"|"&amp;F90</f>
        <v/>
      </c>
      <c r="C90" t="n">
        <v>9</v>
      </c>
      <c r="D90" t="inlineStr">
        <is>
          <t>Sep</t>
        </is>
      </c>
      <c r="E90" t="n">
        <v>2026</v>
      </c>
      <c r="F90" t="inlineStr">
        <is>
          <t>W2</t>
        </is>
      </c>
      <c r="G90" t="inlineStr">
        <is>
          <t>W36</t>
        </is>
      </c>
      <c r="H90" s="3">
        <f>I89+1</f>
        <v/>
      </c>
      <c r="I90" s="3">
        <f>H90+6</f>
        <v/>
      </c>
      <c r="J90" s="1">
        <f>IF(NOT(MONTH(H90)=MONTH(I90)),I90-DATE(E90,C90,1)+1,
IF(MONTH(I90)=C90-1, 0,7))</f>
        <v/>
      </c>
      <c r="K90" s="1">
        <f>7-J90</f>
        <v/>
      </c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>
        <v>56</v>
      </c>
      <c r="W90" s="26" t="n">
        <v>56</v>
      </c>
    </row>
    <row r="91">
      <c r="A91">
        <f>D91&amp;"-"&amp;RIGHT(E91,2)</f>
        <v/>
      </c>
      <c r="B91">
        <f>A91&amp;"|"&amp;F91</f>
        <v/>
      </c>
      <c r="C91" t="n">
        <v>9</v>
      </c>
      <c r="D91" t="inlineStr">
        <is>
          <t>Sep</t>
        </is>
      </c>
      <c r="E91" t="n">
        <v>2026</v>
      </c>
      <c r="F91" t="inlineStr">
        <is>
          <t>W3</t>
        </is>
      </c>
      <c r="G91" t="inlineStr">
        <is>
          <t>W37</t>
        </is>
      </c>
      <c r="H91" s="3">
        <f>I90+1</f>
        <v/>
      </c>
      <c r="I91" s="3">
        <f>H91+6</f>
        <v/>
      </c>
      <c r="J91" s="1">
        <f>IF(NOT(MONTH(H91)=MONTH(I91)),I91-DATE(E91,C91,1)+1,
IF(MONTH(I91)=C91-1, 0,7))</f>
        <v/>
      </c>
      <c r="K91" s="1">
        <f>7-J91</f>
        <v/>
      </c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>
        <v>56</v>
      </c>
      <c r="W91" s="26" t="n">
        <v>56</v>
      </c>
    </row>
    <row r="92">
      <c r="A92">
        <f>D92&amp;"-"&amp;RIGHT(E92,2)</f>
        <v/>
      </c>
      <c r="B92">
        <f>A92&amp;"|"&amp;F92</f>
        <v/>
      </c>
      <c r="C92" t="n">
        <v>9</v>
      </c>
      <c r="D92" t="inlineStr">
        <is>
          <t>Sep</t>
        </is>
      </c>
      <c r="E92" t="n">
        <v>2026</v>
      </c>
      <c r="F92" t="inlineStr">
        <is>
          <t>W4</t>
        </is>
      </c>
      <c r="G92" t="inlineStr">
        <is>
          <t>W38</t>
        </is>
      </c>
      <c r="H92" s="3">
        <f>I91+1</f>
        <v/>
      </c>
      <c r="I92" s="3">
        <f>H92+6</f>
        <v/>
      </c>
      <c r="J92" s="1">
        <f>IF(NOT(MONTH(H92)=MONTH(I92)),I92-DATE(E92,C92,1)+1,
IF(MONTH(I92)=C92-1, 0,7))</f>
        <v/>
      </c>
      <c r="K92" s="1">
        <f>7-J92</f>
        <v/>
      </c>
      <c r="L92" s="26" t="n">
        <v>24</v>
      </c>
      <c r="M92" s="26" t="n">
        <v>24</v>
      </c>
      <c r="N92" s="26" t="n">
        <v>24</v>
      </c>
      <c r="O92" s="26" t="n">
        <v>24</v>
      </c>
      <c r="P92" s="26" t="n">
        <v>24</v>
      </c>
      <c r="Q92" s="26" t="n">
        <v>24</v>
      </c>
      <c r="R92" s="26">
        <f>24</f>
        <v/>
      </c>
      <c r="S92" s="26" t="n"/>
      <c r="T92" s="26" t="n"/>
      <c r="U92" s="26" t="n"/>
      <c r="V92" s="26" t="n">
        <v>56</v>
      </c>
      <c r="W92" s="26" t="n">
        <v>56</v>
      </c>
    </row>
    <row r="93">
      <c r="A93">
        <f>D93&amp;"-"&amp;RIGHT(E93,2)</f>
        <v/>
      </c>
      <c r="B93">
        <f>A93&amp;"|"&amp;F93</f>
        <v/>
      </c>
      <c r="C93" t="n">
        <v>9</v>
      </c>
      <c r="D93" t="inlineStr">
        <is>
          <t>Sep</t>
        </is>
      </c>
      <c r="E93" t="n">
        <v>2026</v>
      </c>
      <c r="F93" t="inlineStr">
        <is>
          <t>W5</t>
        </is>
      </c>
      <c r="G93" t="inlineStr">
        <is>
          <t>W39</t>
        </is>
      </c>
      <c r="H93" s="3">
        <f>I92+1</f>
        <v/>
      </c>
      <c r="I93" s="3">
        <f>H93+6</f>
        <v/>
      </c>
      <c r="J93" s="1">
        <f>IF(NOT(MONTH(H93)=MONTH(I93)),I93-DATE(E93,C93,1)+1,
IF(MONTH(I93)=C93-1, 0,7))</f>
        <v/>
      </c>
      <c r="K93" s="1">
        <f>7-J93</f>
        <v/>
      </c>
      <c r="L93" s="26" t="n">
        <v>12</v>
      </c>
      <c r="M93" s="26" t="n">
        <v>12</v>
      </c>
      <c r="N93" s="26" t="n">
        <v>12</v>
      </c>
      <c r="O93" s="26" t="n">
        <v>12</v>
      </c>
      <c r="P93" s="26" t="n">
        <v>12</v>
      </c>
      <c r="Q93" s="26" t="n"/>
      <c r="R93" s="26" t="n">
        <v>48</v>
      </c>
      <c r="S93" s="26" t="n">
        <v>48</v>
      </c>
      <c r="T93" s="26" t="n"/>
      <c r="U93" s="26" t="n"/>
      <c r="V93" s="26" t="n">
        <v>56</v>
      </c>
      <c r="W93" s="26" t="n">
        <v>56</v>
      </c>
    </row>
    <row r="94">
      <c r="A94">
        <f>D94&amp;"-"&amp;RIGHT(E94,2)</f>
        <v/>
      </c>
      <c r="B94">
        <f>A94&amp;"|"&amp;F94</f>
        <v/>
      </c>
      <c r="C94" t="n">
        <v>10</v>
      </c>
      <c r="D94" t="inlineStr">
        <is>
          <t>Oct</t>
        </is>
      </c>
      <c r="E94" t="n">
        <v>2026</v>
      </c>
      <c r="F94" t="inlineStr">
        <is>
          <t>W1</t>
        </is>
      </c>
      <c r="G94" t="inlineStr">
        <is>
          <t>W40</t>
        </is>
      </c>
      <c r="H94" s="3">
        <f>I93+1</f>
        <v/>
      </c>
      <c r="I94" s="3">
        <f>H94+6</f>
        <v/>
      </c>
      <c r="J94" s="1">
        <f>IF(NOT(MONTH(H94)=MONTH(I94)),I94-DATE(E94,C94,1)+1,
IF(MONTH(I94)=C94-1, 0,7))</f>
        <v/>
      </c>
      <c r="K94" s="1">
        <f>7-J94</f>
        <v/>
      </c>
      <c r="L94" s="26" t="n">
        <v>24</v>
      </c>
      <c r="M94" s="26" t="n">
        <v>24</v>
      </c>
      <c r="N94" s="26" t="n">
        <v>24</v>
      </c>
      <c r="O94" s="26" t="n">
        <v>24</v>
      </c>
      <c r="P94" s="26" t="n">
        <v>24</v>
      </c>
      <c r="Q94" s="26" t="n"/>
      <c r="R94" s="26" t="n"/>
      <c r="S94" s="26" t="n">
        <v>24</v>
      </c>
      <c r="T94" s="26" t="n">
        <v>24</v>
      </c>
      <c r="U94" s="26" t="n"/>
      <c r="V94" s="26" t="n">
        <v>56</v>
      </c>
      <c r="W94" s="26" t="n">
        <v>56</v>
      </c>
    </row>
    <row r="95">
      <c r="A95">
        <f>D95&amp;"-"&amp;RIGHT(E95,2)</f>
        <v/>
      </c>
      <c r="B95">
        <f>A95&amp;"|"&amp;F95</f>
        <v/>
      </c>
      <c r="C95" t="n">
        <v>10</v>
      </c>
      <c r="D95" t="inlineStr">
        <is>
          <t>Oct</t>
        </is>
      </c>
      <c r="E95" t="n">
        <v>2026</v>
      </c>
      <c r="F95" t="inlineStr">
        <is>
          <t>W2</t>
        </is>
      </c>
      <c r="G95" t="inlineStr">
        <is>
          <t>W41</t>
        </is>
      </c>
      <c r="H95" s="3">
        <f>I94+1</f>
        <v/>
      </c>
      <c r="I95" s="3">
        <f>H95+6</f>
        <v/>
      </c>
      <c r="J95" s="1">
        <f>IF(NOT(MONTH(H95)=MONTH(I95)),I95-DATE(E95,C95,1)+1,
IF(MONTH(I95)=C95-1, 0,7))</f>
        <v/>
      </c>
      <c r="K95" s="1">
        <f>7-J95</f>
        <v/>
      </c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>
        <v>56</v>
      </c>
      <c r="W95" s="26" t="n">
        <v>56</v>
      </c>
    </row>
    <row r="96">
      <c r="A96">
        <f>D96&amp;"-"&amp;RIGHT(E96,2)</f>
        <v/>
      </c>
      <c r="B96">
        <f>A96&amp;"|"&amp;F96</f>
        <v/>
      </c>
      <c r="C96" t="n">
        <v>10</v>
      </c>
      <c r="D96" t="inlineStr">
        <is>
          <t>Oct</t>
        </is>
      </c>
      <c r="E96" t="n">
        <v>2026</v>
      </c>
      <c r="F96" t="inlineStr">
        <is>
          <t>W3</t>
        </is>
      </c>
      <c r="G96" t="inlineStr">
        <is>
          <t>W42</t>
        </is>
      </c>
      <c r="H96" s="3">
        <f>I95+1</f>
        <v/>
      </c>
      <c r="I96" s="3">
        <f>H96+6</f>
        <v/>
      </c>
      <c r="J96" s="1">
        <f>IF(NOT(MONTH(H96)=MONTH(I96)),I96-DATE(E96,C96,1)+1,
IF(MONTH(I96)=C96-1, 0,7))</f>
        <v/>
      </c>
      <c r="K96" s="1">
        <f>7-J96</f>
        <v/>
      </c>
      <c r="L96" s="26" t="n"/>
      <c r="M96" s="26" t="n"/>
      <c r="N96" s="26" t="n"/>
      <c r="O96" s="26" t="n">
        <v>12</v>
      </c>
      <c r="P96" s="26" t="n"/>
      <c r="Q96" s="26" t="n"/>
      <c r="R96" s="26" t="n"/>
      <c r="S96" s="26" t="n"/>
      <c r="T96" s="26" t="n"/>
      <c r="U96" s="26" t="n"/>
      <c r="V96" s="26" t="n">
        <v>56</v>
      </c>
      <c r="W96" s="26" t="n">
        <v>56</v>
      </c>
    </row>
    <row r="97">
      <c r="A97">
        <f>D97&amp;"-"&amp;RIGHT(E97,2)</f>
        <v/>
      </c>
      <c r="B97">
        <f>A97&amp;"|"&amp;F97</f>
        <v/>
      </c>
      <c r="C97" t="n">
        <v>10</v>
      </c>
      <c r="D97" t="inlineStr">
        <is>
          <t>Oct</t>
        </is>
      </c>
      <c r="E97" t="n">
        <v>2026</v>
      </c>
      <c r="F97" t="inlineStr">
        <is>
          <t>W4</t>
        </is>
      </c>
      <c r="G97" t="inlineStr">
        <is>
          <t>W43</t>
        </is>
      </c>
      <c r="H97" s="3">
        <f>I96+1</f>
        <v/>
      </c>
      <c r="I97" s="3">
        <f>H97+6</f>
        <v/>
      </c>
      <c r="J97" s="1">
        <f>IF(NOT(MONTH(H97)=MONTH(I97)),I97-DATE(E97,C97,1)+1,
IF(MONTH(I97)=C97-1, 0,7))</f>
        <v/>
      </c>
      <c r="K97" s="1">
        <f>7-J97</f>
        <v/>
      </c>
      <c r="L97" s="26" t="n">
        <v>24</v>
      </c>
      <c r="M97" s="26" t="n">
        <v>24</v>
      </c>
      <c r="N97" s="26" t="n">
        <v>24</v>
      </c>
      <c r="O97" s="26" t="n">
        <v>24</v>
      </c>
      <c r="P97" s="26" t="n">
        <v>24</v>
      </c>
      <c r="Q97" s="26" t="n">
        <v>24</v>
      </c>
      <c r="R97" s="26" t="n">
        <v>24</v>
      </c>
      <c r="S97" s="26" t="n"/>
      <c r="T97" s="26" t="n"/>
      <c r="U97" s="26" t="n"/>
      <c r="V97" s="26" t="n">
        <v>56</v>
      </c>
      <c r="W97" s="26" t="n">
        <v>56</v>
      </c>
    </row>
    <row r="98">
      <c r="A98">
        <f>D98&amp;"-"&amp;RIGHT(E98,2)</f>
        <v/>
      </c>
      <c r="B98">
        <f>A98&amp;"|"&amp;F98</f>
        <v/>
      </c>
      <c r="C98" t="n">
        <v>11</v>
      </c>
      <c r="D98" t="inlineStr">
        <is>
          <t>Nov</t>
        </is>
      </c>
      <c r="E98" t="n">
        <v>2026</v>
      </c>
      <c r="F98" t="inlineStr">
        <is>
          <t>W1</t>
        </is>
      </c>
      <c r="G98" t="inlineStr">
        <is>
          <t>W44</t>
        </is>
      </c>
      <c r="H98" s="3">
        <f>I97+1</f>
        <v/>
      </c>
      <c r="I98" s="3">
        <f>H98+6</f>
        <v/>
      </c>
      <c r="J98" s="1">
        <f>IF(NOT(MONTH(H98)=MONTH(I98)),I98-DATE(E98,C98,1)+1,
IF(MONTH(I98)=C98-1, 0,7))</f>
        <v/>
      </c>
      <c r="K98" s="1">
        <f>7-J98</f>
        <v/>
      </c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>
        <v>56</v>
      </c>
      <c r="W98" s="26" t="n">
        <v>56</v>
      </c>
    </row>
    <row r="99">
      <c r="A99">
        <f>D99&amp;"-"&amp;RIGHT(E99,2)</f>
        <v/>
      </c>
      <c r="B99">
        <f>A99&amp;"|"&amp;F99</f>
        <v/>
      </c>
      <c r="C99" t="n">
        <v>11</v>
      </c>
      <c r="D99" t="inlineStr">
        <is>
          <t>Nov</t>
        </is>
      </c>
      <c r="E99" t="n">
        <v>2026</v>
      </c>
      <c r="F99" t="inlineStr">
        <is>
          <t>W2</t>
        </is>
      </c>
      <c r="G99" t="inlineStr">
        <is>
          <t>W45</t>
        </is>
      </c>
      <c r="H99" s="3">
        <f>I98+1</f>
        <v/>
      </c>
      <c r="I99" s="3">
        <f>H99+6</f>
        <v/>
      </c>
      <c r="J99" s="1">
        <f>IF(NOT(MONTH(H99)=MONTH(I99)),I99-DATE(E99,C99,1)+1,
IF(MONTH(I99)=C99-1, 0,7))</f>
        <v/>
      </c>
      <c r="K99" s="1">
        <f>7-J99</f>
        <v/>
      </c>
      <c r="L99" s="26" t="n"/>
      <c r="M99" s="26" t="n"/>
      <c r="N99" s="26" t="n"/>
      <c r="O99" s="26" t="n"/>
      <c r="P99" s="26" t="n"/>
      <c r="Q99" s="26">
        <f>1*24</f>
        <v/>
      </c>
      <c r="R99" s="26">
        <f>1*24</f>
        <v/>
      </c>
      <c r="S99" s="26">
        <f>1*24</f>
        <v/>
      </c>
      <c r="T99" s="26">
        <f>1*24</f>
        <v/>
      </c>
      <c r="U99" s="26" t="n"/>
      <c r="V99" s="26" t="n">
        <v>56</v>
      </c>
      <c r="W99" s="26" t="n">
        <v>56</v>
      </c>
    </row>
    <row r="100">
      <c r="A100">
        <f>D100&amp;"-"&amp;RIGHT(E100,2)</f>
        <v/>
      </c>
      <c r="B100">
        <f>A100&amp;"|"&amp;F100</f>
        <v/>
      </c>
      <c r="C100" t="n">
        <v>11</v>
      </c>
      <c r="D100" t="inlineStr">
        <is>
          <t>Nov</t>
        </is>
      </c>
      <c r="E100" t="n">
        <v>2026</v>
      </c>
      <c r="F100" t="inlineStr">
        <is>
          <t>W3</t>
        </is>
      </c>
      <c r="G100" t="inlineStr">
        <is>
          <t>W46</t>
        </is>
      </c>
      <c r="H100" s="3">
        <f>I99+1</f>
        <v/>
      </c>
      <c r="I100" s="3">
        <f>H100+6</f>
        <v/>
      </c>
      <c r="J100" s="1">
        <f>IF(NOT(MONTH(H100)=MONTH(I100)),I100-DATE(E100,C100,1)+1,
IF(MONTH(I100)=C100-1, 0,7))</f>
        <v/>
      </c>
      <c r="K100" s="1">
        <f>7-J100</f>
        <v/>
      </c>
      <c r="L100" s="26">
        <f>1*24</f>
        <v/>
      </c>
      <c r="M100" s="26">
        <f>1*24</f>
        <v/>
      </c>
      <c r="N100" s="26">
        <f>1*24</f>
        <v/>
      </c>
      <c r="O100" s="26">
        <f>1*24</f>
        <v/>
      </c>
      <c r="P100" s="26">
        <f>1*24</f>
        <v/>
      </c>
      <c r="Q100" s="26">
        <f>2*24</f>
        <v/>
      </c>
      <c r="R100" s="26">
        <f>2*24</f>
        <v/>
      </c>
      <c r="S100" s="26">
        <f>2*24</f>
        <v/>
      </c>
      <c r="T100" s="26">
        <f>2*24</f>
        <v/>
      </c>
      <c r="U100" s="26" t="n"/>
      <c r="V100" s="26" t="n">
        <v>56</v>
      </c>
      <c r="W100" s="26" t="n">
        <v>56</v>
      </c>
    </row>
    <row r="101">
      <c r="A101">
        <f>D101&amp;"-"&amp;RIGHT(E101,2)</f>
        <v/>
      </c>
      <c r="B101">
        <f>A101&amp;"|"&amp;F101</f>
        <v/>
      </c>
      <c r="C101" t="n">
        <v>11</v>
      </c>
      <c r="D101" t="inlineStr">
        <is>
          <t>Nov</t>
        </is>
      </c>
      <c r="E101" t="n">
        <v>2026</v>
      </c>
      <c r="F101" t="inlineStr">
        <is>
          <t>W4</t>
        </is>
      </c>
      <c r="G101" t="inlineStr">
        <is>
          <t>W47</t>
        </is>
      </c>
      <c r="H101" s="3">
        <f>I100+1</f>
        <v/>
      </c>
      <c r="I101" s="3">
        <f>H101+6</f>
        <v/>
      </c>
      <c r="J101" s="1">
        <f>IF(NOT(MONTH(H101)=MONTH(I101)),I101-DATE(E101,C101,1)+1,
IF(MONTH(I101)=C101-1, 0,7))</f>
        <v/>
      </c>
      <c r="K101" s="1">
        <f>7-J101</f>
        <v/>
      </c>
      <c r="L101" s="26" t="n"/>
      <c r="M101" s="26" t="n"/>
      <c r="N101" s="26" t="n"/>
      <c r="O101" s="26" t="n"/>
      <c r="P101" s="26" t="n"/>
      <c r="Q101" s="26">
        <f>24*3</f>
        <v/>
      </c>
      <c r="R101" s="26" t="n"/>
      <c r="S101" s="26" t="n"/>
      <c r="T101" s="26" t="n"/>
      <c r="U101" s="26" t="n"/>
      <c r="V101" s="26" t="n">
        <v>56</v>
      </c>
      <c r="W101" s="26" t="n">
        <v>56</v>
      </c>
    </row>
    <row r="102">
      <c r="A102">
        <f>D102&amp;"-"&amp;RIGHT(E102,2)</f>
        <v/>
      </c>
      <c r="B102">
        <f>A102&amp;"|"&amp;F102</f>
        <v/>
      </c>
      <c r="C102" t="n">
        <v>12</v>
      </c>
      <c r="D102" t="inlineStr">
        <is>
          <t>Dec</t>
        </is>
      </c>
      <c r="E102" t="n">
        <v>2026</v>
      </c>
      <c r="F102" t="inlineStr">
        <is>
          <t>W1</t>
        </is>
      </c>
      <c r="G102" t="inlineStr">
        <is>
          <t>W48</t>
        </is>
      </c>
      <c r="H102" s="3">
        <f>I101+1</f>
        <v/>
      </c>
      <c r="I102" s="3">
        <f>H102+6</f>
        <v/>
      </c>
      <c r="J102" s="1">
        <f>IF(NOT(MONTH(H102)=MONTH(I102)),I102-DATE(E102,C102,1)+1,
IF(MONTH(I102)=C102-1, 0,7))</f>
        <v/>
      </c>
      <c r="K102" s="1">
        <f>7-J102</f>
        <v/>
      </c>
      <c r="L102" s="26" t="n"/>
      <c r="M102" s="26" t="n">
        <v>48</v>
      </c>
      <c r="N102" s="26" t="n">
        <v>48</v>
      </c>
      <c r="O102" s="26" t="n">
        <v>24</v>
      </c>
      <c r="P102" s="26" t="n"/>
      <c r="Q102" s="26" t="n"/>
      <c r="R102" s="26" t="n"/>
      <c r="S102" s="26" t="n"/>
      <c r="T102" s="26" t="n"/>
      <c r="U102" s="26" t="n"/>
      <c r="V102" s="26" t="n">
        <v>56</v>
      </c>
      <c r="W102" s="26" t="n">
        <v>56</v>
      </c>
    </row>
    <row r="103">
      <c r="A103">
        <f>D103&amp;"-"&amp;RIGHT(E103,2)</f>
        <v/>
      </c>
      <c r="B103">
        <f>A103&amp;"|"&amp;F103</f>
        <v/>
      </c>
      <c r="C103" t="n">
        <v>12</v>
      </c>
      <c r="D103" t="inlineStr">
        <is>
          <t>Dec</t>
        </is>
      </c>
      <c r="E103" t="n">
        <v>2026</v>
      </c>
      <c r="F103" t="inlineStr">
        <is>
          <t>W2</t>
        </is>
      </c>
      <c r="G103" t="inlineStr">
        <is>
          <t>W49</t>
        </is>
      </c>
      <c r="H103" s="3">
        <f>I102+1</f>
        <v/>
      </c>
      <c r="I103" s="3">
        <f>H103+6</f>
        <v/>
      </c>
      <c r="J103" s="1">
        <f>IF(NOT(MONTH(H103)=MONTH(I103)),I103-DATE(E103,C103,1)+1,
IF(MONTH(I103)=C103-1, 0,7))</f>
        <v/>
      </c>
      <c r="K103" s="1">
        <f>7-J103</f>
        <v/>
      </c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>
        <v>56</v>
      </c>
      <c r="W103" s="26" t="n">
        <v>56</v>
      </c>
    </row>
    <row r="104">
      <c r="A104">
        <f>D104&amp;"-"&amp;RIGHT(E104,2)</f>
        <v/>
      </c>
      <c r="B104">
        <f>A104&amp;"|"&amp;F104</f>
        <v/>
      </c>
      <c r="C104" t="n">
        <v>12</v>
      </c>
      <c r="D104" t="inlineStr">
        <is>
          <t>Dec</t>
        </is>
      </c>
      <c r="E104" t="n">
        <v>2026</v>
      </c>
      <c r="F104" t="inlineStr">
        <is>
          <t>W3</t>
        </is>
      </c>
      <c r="G104" t="inlineStr">
        <is>
          <t>W50</t>
        </is>
      </c>
      <c r="H104" s="3">
        <f>I103+1</f>
        <v/>
      </c>
      <c r="I104" s="3">
        <f>H104+6</f>
        <v/>
      </c>
      <c r="J104" s="1">
        <f>IF(NOT(MONTH(H104)=MONTH(I104)),I104-DATE(E104,C104,1)+1,
IF(MONTH(I104)=C104-1, 0,7))</f>
        <v/>
      </c>
      <c r="K104" s="1">
        <f>7-J104</f>
        <v/>
      </c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>
        <v>56</v>
      </c>
      <c r="W104" s="26" t="n">
        <v>56</v>
      </c>
    </row>
    <row r="105">
      <c r="A105">
        <f>D105&amp;"-"&amp;RIGHT(E105,2)</f>
        <v/>
      </c>
      <c r="B105">
        <f>A105&amp;"|"&amp;F105</f>
        <v/>
      </c>
      <c r="C105" t="n">
        <v>12</v>
      </c>
      <c r="D105" t="inlineStr">
        <is>
          <t>Dec</t>
        </is>
      </c>
      <c r="E105" t="n">
        <v>2026</v>
      </c>
      <c r="F105" t="inlineStr">
        <is>
          <t>W4</t>
        </is>
      </c>
      <c r="G105" t="inlineStr">
        <is>
          <t>W51</t>
        </is>
      </c>
      <c r="H105" s="3">
        <f>I104+1</f>
        <v/>
      </c>
      <c r="I105" s="3">
        <f>H105+6</f>
        <v/>
      </c>
      <c r="J105" s="1">
        <f>IF(NOT(MONTH(H105)=MONTH(I105)),I105-DATE(E105,C105,1)+1,
IF(MONTH(I105)=C105-1, 0,7))</f>
        <v/>
      </c>
      <c r="K105" s="1">
        <f>7-J105</f>
        <v/>
      </c>
      <c r="L105" s="26" t="n">
        <v>12</v>
      </c>
      <c r="M105" s="26" t="n">
        <v>12</v>
      </c>
      <c r="N105" s="26">
        <f>2.5*24</f>
        <v/>
      </c>
      <c r="O105" s="26" t="n">
        <v>24</v>
      </c>
      <c r="P105" s="26" t="n">
        <v>12</v>
      </c>
      <c r="Q105" s="26" t="n"/>
      <c r="R105" s="26" t="n"/>
      <c r="S105" s="26" t="n"/>
      <c r="T105" s="26" t="n"/>
      <c r="U105" s="26" t="n"/>
      <c r="V105" s="26" t="n">
        <v>56</v>
      </c>
      <c r="W105" s="26" t="n">
        <v>56</v>
      </c>
    </row>
    <row r="106">
      <c r="A106">
        <f>D106&amp;"-"&amp;RIGHT(E106,2)</f>
        <v/>
      </c>
      <c r="B106">
        <f>A106&amp;"|"&amp;F106</f>
        <v/>
      </c>
      <c r="C106" t="n">
        <v>12</v>
      </c>
      <c r="D106" t="inlineStr">
        <is>
          <t>Dec</t>
        </is>
      </c>
      <c r="E106" t="n">
        <v>2026</v>
      </c>
      <c r="F106" t="inlineStr">
        <is>
          <t>W5</t>
        </is>
      </c>
      <c r="G106" t="inlineStr">
        <is>
          <t>W52</t>
        </is>
      </c>
      <c r="H106" s="3">
        <f>I105+1</f>
        <v/>
      </c>
      <c r="I106" s="3">
        <f>H106+6</f>
        <v/>
      </c>
      <c r="J106" s="1">
        <f>IF(NOT(MONTH(H106)=MONTH(I106)),I106-DATE(E106,C106,1)+1,
IF(MONTH(I106)=C106-1, 0,7))</f>
        <v/>
      </c>
      <c r="K106" s="1">
        <f>7-J106</f>
        <v/>
      </c>
      <c r="L106" s="26" t="n">
        <v>24</v>
      </c>
      <c r="M106" s="26" t="n">
        <v>24</v>
      </c>
      <c r="N106" s="26" t="n">
        <v>24</v>
      </c>
      <c r="O106" s="26" t="n">
        <v>24</v>
      </c>
      <c r="P106" s="26" t="n">
        <v>24</v>
      </c>
      <c r="Q106" s="26" t="n">
        <v>24</v>
      </c>
      <c r="R106" s="26" t="n">
        <v>24</v>
      </c>
      <c r="S106" s="26" t="n">
        <v>24</v>
      </c>
      <c r="T106" s="26" t="n">
        <v>24</v>
      </c>
      <c r="U106" s="26" t="n"/>
      <c r="V106" s="26" t="n">
        <v>56</v>
      </c>
      <c r="W106" s="26" t="n">
        <v>56</v>
      </c>
    </row>
    <row r="107">
      <c r="A107">
        <f>D107&amp;"-"&amp;RIGHT(E107,2)</f>
        <v/>
      </c>
      <c r="B107">
        <f>A107&amp;"|"&amp;F107</f>
        <v/>
      </c>
      <c r="C107" t="n">
        <v>1</v>
      </c>
      <c r="D107" t="inlineStr">
        <is>
          <t>Jan</t>
        </is>
      </c>
      <c r="E107" t="n">
        <v>2027</v>
      </c>
      <c r="F107" t="inlineStr">
        <is>
          <t>W1</t>
        </is>
      </c>
      <c r="G107" s="2" t="inlineStr">
        <is>
          <t>W1</t>
        </is>
      </c>
      <c r="H107" s="3">
        <f>I106+1</f>
        <v/>
      </c>
      <c r="I107" s="3">
        <f>H107+6</f>
        <v/>
      </c>
      <c r="J107" s="1">
        <f>IF(NOT(MONTH(H107)=MONTH(I107)),I107-DATE(E107,C107,1)+1,
IF(MONTH(I107)=C107-1, 0,7))</f>
        <v/>
      </c>
      <c r="K107" s="1">
        <f>7-J107</f>
        <v/>
      </c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>
        <v>56</v>
      </c>
      <c r="W107" s="26" t="n">
        <v>56</v>
      </c>
    </row>
    <row r="108">
      <c r="A108">
        <f>D108&amp;"-"&amp;RIGHT(E108,2)</f>
        <v/>
      </c>
      <c r="B108">
        <f>A108&amp;"|"&amp;F108</f>
        <v/>
      </c>
      <c r="C108" t="n">
        <v>1</v>
      </c>
      <c r="D108" t="inlineStr">
        <is>
          <t>Jan</t>
        </is>
      </c>
      <c r="E108" t="n">
        <v>2027</v>
      </c>
      <c r="F108" t="inlineStr">
        <is>
          <t>W2</t>
        </is>
      </c>
      <c r="G108" t="inlineStr">
        <is>
          <t>W2</t>
        </is>
      </c>
      <c r="H108" s="3">
        <f>I107+1</f>
        <v/>
      </c>
      <c r="I108" s="3">
        <f>H108+6</f>
        <v/>
      </c>
      <c r="J108" s="1">
        <f>IF(NOT(MONTH(H108)=MONTH(I108)),I108-DATE(E108,C108,1)+1,
IF(MONTH(I108)=C108-1, 0,7))</f>
        <v/>
      </c>
      <c r="K108" s="1">
        <f>7-J108</f>
        <v/>
      </c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>
        <v>56</v>
      </c>
      <c r="W108" s="26" t="n">
        <v>56</v>
      </c>
    </row>
    <row r="109">
      <c r="A109">
        <f>D109&amp;"-"&amp;RIGHT(E109,2)</f>
        <v/>
      </c>
      <c r="B109">
        <f>A109&amp;"|"&amp;F109</f>
        <v/>
      </c>
      <c r="C109" t="n">
        <v>1</v>
      </c>
      <c r="D109" t="inlineStr">
        <is>
          <t>Jan</t>
        </is>
      </c>
      <c r="E109" t="n">
        <v>2027</v>
      </c>
      <c r="F109" t="inlineStr">
        <is>
          <t>W3</t>
        </is>
      </c>
      <c r="G109" t="inlineStr">
        <is>
          <t>W3</t>
        </is>
      </c>
      <c r="H109" s="3">
        <f>I108+1</f>
        <v/>
      </c>
      <c r="I109" s="3">
        <f>H109+6</f>
        <v/>
      </c>
      <c r="J109" s="1">
        <f>IF(NOT(MONTH(H109)=MONTH(I109)),I109-DATE(E109,C109,1)+1,
IF(MONTH(I109)=C109-1, 0,7))</f>
        <v/>
      </c>
      <c r="K109" s="1">
        <f>7-J109</f>
        <v/>
      </c>
      <c r="L109" s="26" t="n">
        <v>24</v>
      </c>
      <c r="M109" s="26" t="n">
        <v>24</v>
      </c>
      <c r="N109" s="26" t="n">
        <v>24</v>
      </c>
      <c r="O109" s="26" t="n">
        <v>24</v>
      </c>
      <c r="P109" s="26" t="n">
        <v>24</v>
      </c>
      <c r="Q109" s="26" t="n"/>
      <c r="R109" s="26" t="n"/>
      <c r="S109" s="26" t="n"/>
      <c r="T109" s="26" t="n"/>
      <c r="U109" s="26" t="n"/>
      <c r="V109" s="26" t="n">
        <v>56</v>
      </c>
      <c r="W109" s="26" t="n">
        <v>56</v>
      </c>
    </row>
    <row r="110">
      <c r="A110">
        <f>D110&amp;"-"&amp;RIGHT(E110,2)</f>
        <v/>
      </c>
      <c r="B110">
        <f>A110&amp;"|"&amp;F110</f>
        <v/>
      </c>
      <c r="C110" t="n">
        <v>1</v>
      </c>
      <c r="D110" t="inlineStr">
        <is>
          <t>Jan</t>
        </is>
      </c>
      <c r="E110" t="n">
        <v>2027</v>
      </c>
      <c r="F110" t="inlineStr">
        <is>
          <t>W4</t>
        </is>
      </c>
      <c r="G110" t="inlineStr">
        <is>
          <t>W4</t>
        </is>
      </c>
      <c r="H110" s="3">
        <f>I109+1</f>
        <v/>
      </c>
      <c r="I110" s="3">
        <f>H110+6</f>
        <v/>
      </c>
      <c r="J110" s="1">
        <f>IF(NOT(MONTH(H110)=MONTH(I110)),I110-DATE(E110,C110,1)+1,
IF(MONTH(I110)=C110-1, 0,7))</f>
        <v/>
      </c>
      <c r="K110" s="1">
        <f>7-J110</f>
        <v/>
      </c>
      <c r="L110" s="26" t="n"/>
      <c r="M110" s="26" t="n"/>
      <c r="N110" s="26" t="n"/>
      <c r="O110" s="26" t="n">
        <v>24</v>
      </c>
      <c r="P110" s="26" t="n"/>
      <c r="Q110" s="26" t="n"/>
      <c r="R110" s="26" t="n"/>
      <c r="S110" s="26" t="n"/>
      <c r="T110" s="26" t="n"/>
      <c r="U110" s="26" t="n"/>
      <c r="V110" s="26" t="n">
        <v>56</v>
      </c>
      <c r="W110" s="26" t="n">
        <v>56</v>
      </c>
    </row>
    <row r="111">
      <c r="A111">
        <f>D111&amp;"-"&amp;RIGHT(E111,2)</f>
        <v/>
      </c>
      <c r="B111">
        <f>A111&amp;"|"&amp;F111</f>
        <v/>
      </c>
      <c r="C111" t="n">
        <v>2</v>
      </c>
      <c r="D111" t="inlineStr">
        <is>
          <t>Feb</t>
        </is>
      </c>
      <c r="E111" t="n">
        <v>2027</v>
      </c>
      <c r="F111" t="inlineStr">
        <is>
          <t>W1</t>
        </is>
      </c>
      <c r="G111" t="inlineStr">
        <is>
          <t>W5</t>
        </is>
      </c>
      <c r="H111" s="3">
        <f>I110+1</f>
        <v/>
      </c>
      <c r="I111" s="3">
        <f>H111+6</f>
        <v/>
      </c>
      <c r="J111" s="1">
        <f>IF(NOT(MONTH(H111)=MONTH(I111)),I111-DATE(E111,C111,1)+1,
IF(MONTH(I111)=C111-1, 0,7))</f>
        <v/>
      </c>
      <c r="K111" s="1">
        <f>7-J111</f>
        <v/>
      </c>
      <c r="L111" s="26" t="n">
        <v>24</v>
      </c>
      <c r="M111" s="26" t="n">
        <v>24</v>
      </c>
      <c r="N111" s="26" t="n">
        <v>24</v>
      </c>
      <c r="O111" s="26" t="n">
        <v>24</v>
      </c>
      <c r="P111" s="26" t="n">
        <v>24</v>
      </c>
      <c r="Q111" s="26" t="n">
        <v>24</v>
      </c>
      <c r="R111" s="26" t="n">
        <v>24</v>
      </c>
      <c r="S111" s="26" t="n">
        <v>24</v>
      </c>
      <c r="T111" s="26" t="n">
        <v>24</v>
      </c>
      <c r="U111" s="26" t="n"/>
      <c r="V111" s="26" t="n">
        <v>56</v>
      </c>
      <c r="W111" s="26" t="n">
        <v>56</v>
      </c>
    </row>
    <row r="112">
      <c r="A112">
        <f>D112&amp;"-"&amp;RIGHT(E112,2)</f>
        <v/>
      </c>
      <c r="B112">
        <f>A112&amp;"|"&amp;F112</f>
        <v/>
      </c>
      <c r="C112" t="n">
        <v>2</v>
      </c>
      <c r="D112" t="inlineStr">
        <is>
          <t>Feb</t>
        </is>
      </c>
      <c r="E112" t="n">
        <v>2027</v>
      </c>
      <c r="F112" t="inlineStr">
        <is>
          <t>W2</t>
        </is>
      </c>
      <c r="G112" t="inlineStr">
        <is>
          <t>W6</t>
        </is>
      </c>
      <c r="H112" s="3">
        <f>I111+1</f>
        <v/>
      </c>
      <c r="I112" s="3">
        <f>H112+6</f>
        <v/>
      </c>
      <c r="J112" s="1">
        <f>IF(NOT(MONTH(H112)=MONTH(I112)),I112-DATE(E112,C112,1)+1,
IF(MONTH(I112)=C112-1, 0,7))</f>
        <v/>
      </c>
      <c r="K112" s="1">
        <f>7-J112</f>
        <v/>
      </c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>
        <v>56</v>
      </c>
      <c r="W112" s="26" t="n">
        <v>56</v>
      </c>
    </row>
    <row r="113">
      <c r="A113">
        <f>D113&amp;"-"&amp;RIGHT(E113,2)</f>
        <v/>
      </c>
      <c r="B113">
        <f>A113&amp;"|"&amp;F113</f>
        <v/>
      </c>
      <c r="C113" t="n">
        <v>2</v>
      </c>
      <c r="D113" t="inlineStr">
        <is>
          <t>Feb</t>
        </is>
      </c>
      <c r="E113" t="n">
        <v>2027</v>
      </c>
      <c r="F113" t="inlineStr">
        <is>
          <t>W3</t>
        </is>
      </c>
      <c r="G113" t="inlineStr">
        <is>
          <t>W7</t>
        </is>
      </c>
      <c r="H113" s="3">
        <f>I112+1</f>
        <v/>
      </c>
      <c r="I113" s="3">
        <f>H113+6</f>
        <v/>
      </c>
      <c r="J113" s="1">
        <f>IF(NOT(MONTH(H113)=MONTH(I113)),I113-DATE(E113,C113,1)+1,
IF(MONTH(I113)=C113-1, 0,7))</f>
        <v/>
      </c>
      <c r="K113" s="1">
        <f>7-J113</f>
        <v/>
      </c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>
        <v>56</v>
      </c>
      <c r="W113" s="26" t="n">
        <v>56</v>
      </c>
    </row>
    <row r="114">
      <c r="A114">
        <f>D114&amp;"-"&amp;RIGHT(E114,2)</f>
        <v/>
      </c>
      <c r="B114">
        <f>A114&amp;"|"&amp;F114</f>
        <v/>
      </c>
      <c r="C114" t="n">
        <v>2</v>
      </c>
      <c r="D114" t="inlineStr">
        <is>
          <t>Feb</t>
        </is>
      </c>
      <c r="E114" t="n">
        <v>2027</v>
      </c>
      <c r="F114" t="inlineStr">
        <is>
          <t>W4</t>
        </is>
      </c>
      <c r="G114" t="inlineStr">
        <is>
          <t>W8</t>
        </is>
      </c>
      <c r="H114" s="3">
        <f>I113+1</f>
        <v/>
      </c>
      <c r="I114" s="3">
        <f>H114+6</f>
        <v/>
      </c>
      <c r="J114" s="1">
        <f>IF(NOT(MONTH(H114)=MONTH(I114)),I114-DATE(E114,C114,1)+1,
IF(MONTH(I114)=C114-1, 0,7))</f>
        <v/>
      </c>
      <c r="K114" s="1">
        <f>7-J114</f>
        <v/>
      </c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>
        <v>56</v>
      </c>
      <c r="W114" s="26" t="n">
        <v>56</v>
      </c>
    </row>
    <row r="115">
      <c r="A115">
        <f>D115&amp;"-"&amp;RIGHT(E115,2)</f>
        <v/>
      </c>
      <c r="B115">
        <f>A115&amp;"|"&amp;F115</f>
        <v/>
      </c>
      <c r="C115" t="n">
        <v>3</v>
      </c>
      <c r="D115" t="inlineStr">
        <is>
          <t>Mar</t>
        </is>
      </c>
      <c r="E115" t="n">
        <v>2027</v>
      </c>
      <c r="F115" t="inlineStr">
        <is>
          <t>W1</t>
        </is>
      </c>
      <c r="G115" t="inlineStr">
        <is>
          <t>W9</t>
        </is>
      </c>
      <c r="H115" s="3">
        <f>I114+1</f>
        <v/>
      </c>
      <c r="I115" s="3">
        <f>H115+6</f>
        <v/>
      </c>
      <c r="J115" s="1">
        <f>IF(NOT(MONTH(H115)=MONTH(I115)),I115-DATE(E115,C115,1)+1,
IF(MONTH(I115)=C115-1, 0,7))</f>
        <v/>
      </c>
      <c r="K115" s="1">
        <f>7-J115</f>
        <v/>
      </c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>
        <v>56</v>
      </c>
      <c r="W115" s="26" t="n">
        <v>56</v>
      </c>
    </row>
    <row r="116">
      <c r="A116">
        <f>D116&amp;"-"&amp;RIGHT(E116,2)</f>
        <v/>
      </c>
      <c r="B116">
        <f>A116&amp;"|"&amp;F116</f>
        <v/>
      </c>
      <c r="C116" t="n">
        <v>3</v>
      </c>
      <c r="D116" t="inlineStr">
        <is>
          <t>Mar</t>
        </is>
      </c>
      <c r="E116" t="n">
        <v>2027</v>
      </c>
      <c r="F116" t="inlineStr">
        <is>
          <t>W2</t>
        </is>
      </c>
      <c r="G116" t="inlineStr">
        <is>
          <t>W10</t>
        </is>
      </c>
      <c r="H116" s="3">
        <f>I115+1</f>
        <v/>
      </c>
      <c r="I116" s="3">
        <f>H116+6</f>
        <v/>
      </c>
      <c r="J116" s="1">
        <f>IF(NOT(MONTH(H116)=MONTH(I116)),I116-DATE(E116,C116,1)+1,
IF(MONTH(I116)=C116-1, 0,7))</f>
        <v/>
      </c>
      <c r="K116" s="1">
        <f>7-J116</f>
        <v/>
      </c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>
        <v>56</v>
      </c>
      <c r="W116" s="26" t="n">
        <v>56</v>
      </c>
    </row>
    <row r="117">
      <c r="A117">
        <f>D117&amp;"-"&amp;RIGHT(E117,2)</f>
        <v/>
      </c>
      <c r="B117">
        <f>A117&amp;"|"&amp;F117</f>
        <v/>
      </c>
      <c r="C117" t="n">
        <v>3</v>
      </c>
      <c r="D117" t="inlineStr">
        <is>
          <t>Mar</t>
        </is>
      </c>
      <c r="E117" t="n">
        <v>2027</v>
      </c>
      <c r="F117" t="inlineStr">
        <is>
          <t>W3</t>
        </is>
      </c>
      <c r="G117" t="inlineStr">
        <is>
          <t>W11</t>
        </is>
      </c>
      <c r="H117" s="3">
        <f>I116+1</f>
        <v/>
      </c>
      <c r="I117" s="3">
        <f>H117+6</f>
        <v/>
      </c>
      <c r="J117" s="1">
        <f>IF(NOT(MONTH(H117)=MONTH(I117)),I117-DATE(E117,C117,1)+1,
IF(MONTH(I117)=C117-1, 0,7))</f>
        <v/>
      </c>
      <c r="K117" s="1">
        <f>7-J117</f>
        <v/>
      </c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>
        <v>56</v>
      </c>
      <c r="W117" s="26" t="n">
        <v>56</v>
      </c>
    </row>
    <row r="118">
      <c r="A118">
        <f>D118&amp;"-"&amp;RIGHT(E118,2)</f>
        <v/>
      </c>
      <c r="B118">
        <f>A118&amp;"|"&amp;F118</f>
        <v/>
      </c>
      <c r="C118" t="n">
        <v>3</v>
      </c>
      <c r="D118" t="inlineStr">
        <is>
          <t>Mar</t>
        </is>
      </c>
      <c r="E118" t="n">
        <v>2027</v>
      </c>
      <c r="F118" t="inlineStr">
        <is>
          <t>W4</t>
        </is>
      </c>
      <c r="G118" t="inlineStr">
        <is>
          <t>W12</t>
        </is>
      </c>
      <c r="H118" s="3">
        <f>I117+1</f>
        <v/>
      </c>
      <c r="I118" s="3">
        <f>H118+6</f>
        <v/>
      </c>
      <c r="J118" s="1">
        <f>IF(NOT(MONTH(H118)=MONTH(I118)),I118-DATE(E118,C118,1)+1,
IF(MONTH(I118)=C118-1, 0,7))</f>
        <v/>
      </c>
      <c r="K118" s="1">
        <f>7-J118</f>
        <v/>
      </c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>
        <v>56</v>
      </c>
      <c r="W118" s="26" t="n">
        <v>56</v>
      </c>
    </row>
    <row r="119">
      <c r="A119">
        <f>D119&amp;"-"&amp;RIGHT(E119,2)</f>
        <v/>
      </c>
      <c r="B119">
        <f>A119&amp;"|"&amp;F119</f>
        <v/>
      </c>
      <c r="C119" t="n">
        <v>3</v>
      </c>
      <c r="D119" t="inlineStr">
        <is>
          <t>Mar</t>
        </is>
      </c>
      <c r="E119" t="n">
        <v>2027</v>
      </c>
      <c r="F119" t="inlineStr">
        <is>
          <t>W5</t>
        </is>
      </c>
      <c r="G119" t="inlineStr">
        <is>
          <t>W13</t>
        </is>
      </c>
      <c r="H119" s="3">
        <f>I118+1</f>
        <v/>
      </c>
      <c r="I119" s="3">
        <f>H119+6</f>
        <v/>
      </c>
      <c r="J119" s="1">
        <f>IF(NOT(MONTH(H119)=MONTH(I119)),I119-DATE(E119,C119,1)+1,
IF(MONTH(I119)=C119-1, 0,7))</f>
        <v/>
      </c>
      <c r="K119" s="1">
        <f>7-J119</f>
        <v/>
      </c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>
        <v>56</v>
      </c>
      <c r="W119" s="26" t="n">
        <v>56</v>
      </c>
    </row>
    <row r="120">
      <c r="A120">
        <f>D120&amp;"-"&amp;RIGHT(E120,2)</f>
        <v/>
      </c>
      <c r="B120">
        <f>A120&amp;"|"&amp;F120</f>
        <v/>
      </c>
      <c r="C120" t="n">
        <v>4</v>
      </c>
      <c r="D120" t="inlineStr">
        <is>
          <t>Apr</t>
        </is>
      </c>
      <c r="E120" t="n">
        <v>2027</v>
      </c>
      <c r="F120" t="inlineStr">
        <is>
          <t>W1</t>
        </is>
      </c>
      <c r="G120" t="inlineStr">
        <is>
          <t>W14</t>
        </is>
      </c>
      <c r="H120" s="3">
        <f>I119+1</f>
        <v/>
      </c>
      <c r="I120" s="3">
        <f>H120+6</f>
        <v/>
      </c>
      <c r="J120" s="1">
        <f>IF(NOT(MONTH(H120)=MONTH(I120)),I120-DATE(E120,C120,1)+1,
IF(MONTH(I120)=C120-1, 0,7))</f>
        <v/>
      </c>
      <c r="K120" s="1">
        <f>7-J120</f>
        <v/>
      </c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>
        <v>56</v>
      </c>
      <c r="W120" s="26" t="n">
        <v>56</v>
      </c>
    </row>
    <row r="121">
      <c r="A121">
        <f>D121&amp;"-"&amp;RIGHT(E121,2)</f>
        <v/>
      </c>
      <c r="B121">
        <f>A121&amp;"|"&amp;F121</f>
        <v/>
      </c>
      <c r="C121" t="n">
        <v>4</v>
      </c>
      <c r="D121" t="inlineStr">
        <is>
          <t>Apr</t>
        </is>
      </c>
      <c r="E121" t="n">
        <v>2027</v>
      </c>
      <c r="F121" t="inlineStr">
        <is>
          <t>W2</t>
        </is>
      </c>
      <c r="G121" t="inlineStr">
        <is>
          <t>W15</t>
        </is>
      </c>
      <c r="H121" s="3">
        <f>I120+1</f>
        <v/>
      </c>
      <c r="I121" s="3">
        <f>H121+6</f>
        <v/>
      </c>
      <c r="J121" s="1">
        <f>IF(NOT(MONTH(H121)=MONTH(I121)),I121-DATE(E121,C121,1)+1,
IF(MONTH(I121)=C121-1, 0,7))</f>
        <v/>
      </c>
      <c r="K121" s="1">
        <f>7-J121</f>
        <v/>
      </c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>
        <v>56</v>
      </c>
      <c r="W121" s="26" t="n">
        <v>56</v>
      </c>
    </row>
    <row r="122">
      <c r="A122">
        <f>D122&amp;"-"&amp;RIGHT(E122,2)</f>
        <v/>
      </c>
      <c r="B122">
        <f>A122&amp;"|"&amp;F122</f>
        <v/>
      </c>
      <c r="C122" t="n">
        <v>4</v>
      </c>
      <c r="D122" t="inlineStr">
        <is>
          <t>Apr</t>
        </is>
      </c>
      <c r="E122" t="n">
        <v>2027</v>
      </c>
      <c r="F122" t="inlineStr">
        <is>
          <t>W3</t>
        </is>
      </c>
      <c r="G122" t="inlineStr">
        <is>
          <t>W16</t>
        </is>
      </c>
      <c r="H122" s="3">
        <f>I121+1</f>
        <v/>
      </c>
      <c r="I122" s="3">
        <f>H122+6</f>
        <v/>
      </c>
      <c r="J122" s="1">
        <f>IF(NOT(MONTH(H122)=MONTH(I122)),I122-DATE(E122,C122,1)+1,
IF(MONTH(I122)=C122-1, 0,7))</f>
        <v/>
      </c>
      <c r="K122" s="1">
        <f>7-J122</f>
        <v/>
      </c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>
        <v>56</v>
      </c>
      <c r="W122" s="26" t="n">
        <v>56</v>
      </c>
    </row>
    <row r="123">
      <c r="A123">
        <f>D123&amp;"-"&amp;RIGHT(E123,2)</f>
        <v/>
      </c>
      <c r="B123">
        <f>A123&amp;"|"&amp;F123</f>
        <v/>
      </c>
      <c r="C123" t="n">
        <v>4</v>
      </c>
      <c r="D123" t="inlineStr">
        <is>
          <t>Apr</t>
        </is>
      </c>
      <c r="E123" t="n">
        <v>2027</v>
      </c>
      <c r="F123" t="inlineStr">
        <is>
          <t>W4</t>
        </is>
      </c>
      <c r="G123" t="inlineStr">
        <is>
          <t>W17</t>
        </is>
      </c>
      <c r="H123" s="3">
        <f>I122+1</f>
        <v/>
      </c>
      <c r="I123" s="3">
        <f>H123+6</f>
        <v/>
      </c>
      <c r="J123" s="1">
        <f>IF(NOT(MONTH(H123)=MONTH(I123)),I123-DATE(E123,C123,1)+1,
IF(MONTH(I123)=C123-1, 0,7))</f>
        <v/>
      </c>
      <c r="K123" s="1">
        <f>7-J123</f>
        <v/>
      </c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>
        <v>56</v>
      </c>
      <c r="W123" s="26" t="n">
        <v>56</v>
      </c>
    </row>
    <row r="124">
      <c r="A124">
        <f>D124&amp;"-"&amp;RIGHT(E124,2)</f>
        <v/>
      </c>
      <c r="B124">
        <f>A124&amp;"|"&amp;F124</f>
        <v/>
      </c>
      <c r="C124" t="n">
        <v>5</v>
      </c>
      <c r="D124" t="inlineStr">
        <is>
          <t>May</t>
        </is>
      </c>
      <c r="E124" t="n">
        <v>2027</v>
      </c>
      <c r="F124" t="inlineStr">
        <is>
          <t>W1</t>
        </is>
      </c>
      <c r="G124" t="inlineStr">
        <is>
          <t>W18</t>
        </is>
      </c>
      <c r="H124" s="3">
        <f>I123+1</f>
        <v/>
      </c>
      <c r="I124" s="3">
        <f>H124+6</f>
        <v/>
      </c>
      <c r="J124" s="1">
        <f>IF(NOT(MONTH(H124)=MONTH(I124)),I124-DATE(E124,C124,1)+1,
IF(MONTH(I124)=C124-1, 0,7))</f>
        <v/>
      </c>
      <c r="K124" s="1">
        <f>7-J124</f>
        <v/>
      </c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>
        <v>56</v>
      </c>
      <c r="W124" s="26" t="n">
        <v>56</v>
      </c>
    </row>
    <row r="125">
      <c r="A125">
        <f>D125&amp;"-"&amp;RIGHT(E125,2)</f>
        <v/>
      </c>
      <c r="B125">
        <f>A125&amp;"|"&amp;F125</f>
        <v/>
      </c>
      <c r="C125" t="n">
        <v>5</v>
      </c>
      <c r="D125" t="inlineStr">
        <is>
          <t>May</t>
        </is>
      </c>
      <c r="E125" t="n">
        <v>2027</v>
      </c>
      <c r="F125" t="inlineStr">
        <is>
          <t>W2</t>
        </is>
      </c>
      <c r="G125" t="inlineStr">
        <is>
          <t>W19</t>
        </is>
      </c>
      <c r="H125" s="3">
        <f>I124+1</f>
        <v/>
      </c>
      <c r="I125" s="3">
        <f>H125+6</f>
        <v/>
      </c>
      <c r="J125" s="1">
        <f>IF(NOT(MONTH(H125)=MONTH(I125)),I125-DATE(E125,C125,1)+1,
IF(MONTH(I125)=C125-1, 0,7))</f>
        <v/>
      </c>
      <c r="K125" s="1">
        <f>7-J125</f>
        <v/>
      </c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>
        <v>56</v>
      </c>
      <c r="W125" s="26" t="n">
        <v>56</v>
      </c>
    </row>
    <row r="126">
      <c r="A126">
        <f>D126&amp;"-"&amp;RIGHT(E126,2)</f>
        <v/>
      </c>
      <c r="B126">
        <f>A126&amp;"|"&amp;F126</f>
        <v/>
      </c>
      <c r="C126" t="n">
        <v>5</v>
      </c>
      <c r="D126" t="inlineStr">
        <is>
          <t>May</t>
        </is>
      </c>
      <c r="E126" t="n">
        <v>2027</v>
      </c>
      <c r="F126" t="inlineStr">
        <is>
          <t>W3</t>
        </is>
      </c>
      <c r="G126" t="inlineStr">
        <is>
          <t>W20</t>
        </is>
      </c>
      <c r="H126" s="3">
        <f>I125+1</f>
        <v/>
      </c>
      <c r="I126" s="3">
        <f>H126+6</f>
        <v/>
      </c>
      <c r="J126" s="1">
        <f>IF(NOT(MONTH(H126)=MONTH(I126)),I126-DATE(E126,C126,1)+1,
IF(MONTH(I126)=C126-1, 0,7))</f>
        <v/>
      </c>
      <c r="K126" s="1">
        <f>7-J126</f>
        <v/>
      </c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>
        <v>56</v>
      </c>
      <c r="W126" s="26" t="n">
        <v>56</v>
      </c>
    </row>
    <row r="127">
      <c r="A127">
        <f>D127&amp;"-"&amp;RIGHT(E127,2)</f>
        <v/>
      </c>
      <c r="B127">
        <f>A127&amp;"|"&amp;F127</f>
        <v/>
      </c>
      <c r="C127" t="n">
        <v>5</v>
      </c>
      <c r="D127" t="inlineStr">
        <is>
          <t>May</t>
        </is>
      </c>
      <c r="E127" t="n">
        <v>2027</v>
      </c>
      <c r="F127" t="inlineStr">
        <is>
          <t>W4</t>
        </is>
      </c>
      <c r="G127" t="inlineStr">
        <is>
          <t>W21</t>
        </is>
      </c>
      <c r="H127" s="3">
        <f>I126+1</f>
        <v/>
      </c>
      <c r="I127" s="3">
        <f>H127+6</f>
        <v/>
      </c>
      <c r="J127" s="1">
        <f>IF(NOT(MONTH(H127)=MONTH(I127)),I127-DATE(E127,C127,1)+1,
IF(MONTH(I127)=C127-1, 0,7))</f>
        <v/>
      </c>
      <c r="K127" s="1">
        <f>7-J127</f>
        <v/>
      </c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>
        <v>56</v>
      </c>
      <c r="W127" s="26" t="n">
        <v>56</v>
      </c>
    </row>
    <row r="128">
      <c r="A128">
        <f>D128&amp;"-"&amp;RIGHT(E128,2)</f>
        <v/>
      </c>
      <c r="B128">
        <f>A128&amp;"|"&amp;F128</f>
        <v/>
      </c>
      <c r="C128" t="n">
        <v>6</v>
      </c>
      <c r="D128" t="inlineStr">
        <is>
          <t>Jun</t>
        </is>
      </c>
      <c r="E128" t="n">
        <v>2027</v>
      </c>
      <c r="F128" t="inlineStr">
        <is>
          <t>W1</t>
        </is>
      </c>
      <c r="G128" t="inlineStr">
        <is>
          <t>W22</t>
        </is>
      </c>
      <c r="H128" s="3">
        <f>I127+1</f>
        <v/>
      </c>
      <c r="I128" s="3">
        <f>H128+6</f>
        <v/>
      </c>
      <c r="J128" s="1">
        <f>IF(NOT(MONTH(H128)=MONTH(I128)),I128-DATE(E128,C128,1)+1,
IF(MONTH(I128)=C128-1, 0,7))</f>
        <v/>
      </c>
      <c r="K128" s="1">
        <f>7-J128</f>
        <v/>
      </c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>
        <v>56</v>
      </c>
      <c r="W128" s="26" t="n">
        <v>56</v>
      </c>
    </row>
    <row r="129">
      <c r="A129">
        <f>D129&amp;"-"&amp;RIGHT(E129,2)</f>
        <v/>
      </c>
      <c r="B129">
        <f>A129&amp;"|"&amp;F129</f>
        <v/>
      </c>
      <c r="C129" t="n">
        <v>6</v>
      </c>
      <c r="D129" t="inlineStr">
        <is>
          <t>Jun</t>
        </is>
      </c>
      <c r="E129" t="n">
        <v>2027</v>
      </c>
      <c r="F129" t="inlineStr">
        <is>
          <t>W2</t>
        </is>
      </c>
      <c r="G129" t="inlineStr">
        <is>
          <t>W23</t>
        </is>
      </c>
      <c r="H129" s="3">
        <f>I128+1</f>
        <v/>
      </c>
      <c r="I129" s="3">
        <f>H129+6</f>
        <v/>
      </c>
      <c r="J129" s="1">
        <f>IF(NOT(MONTH(H129)=MONTH(I129)),I129-DATE(E129,C129,1)+1,
IF(MONTH(I129)=C129-1, 0,7))</f>
        <v/>
      </c>
      <c r="K129" s="1">
        <f>7-J129</f>
        <v/>
      </c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>
        <v>56</v>
      </c>
      <c r="W129" s="26" t="n">
        <v>56</v>
      </c>
    </row>
    <row r="130">
      <c r="A130">
        <f>D130&amp;"-"&amp;RIGHT(E130,2)</f>
        <v/>
      </c>
      <c r="B130">
        <f>A130&amp;"|"&amp;F130</f>
        <v/>
      </c>
      <c r="C130" t="n">
        <v>6</v>
      </c>
      <c r="D130" t="inlineStr">
        <is>
          <t>Jun</t>
        </is>
      </c>
      <c r="E130" t="n">
        <v>2027</v>
      </c>
      <c r="F130" t="inlineStr">
        <is>
          <t>W3</t>
        </is>
      </c>
      <c r="G130" t="inlineStr">
        <is>
          <t>W24</t>
        </is>
      </c>
      <c r="H130" s="3">
        <f>I129+1</f>
        <v/>
      </c>
      <c r="I130" s="3">
        <f>H130+6</f>
        <v/>
      </c>
      <c r="J130" s="1">
        <f>IF(NOT(MONTH(H130)=MONTH(I130)),I130-DATE(E130,C130,1)+1,
IF(MONTH(I130)=C130-1, 0,7))</f>
        <v/>
      </c>
      <c r="K130" s="1">
        <f>7-J130</f>
        <v/>
      </c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>
        <v>56</v>
      </c>
      <c r="W130" s="26" t="n">
        <v>56</v>
      </c>
    </row>
    <row r="131">
      <c r="A131">
        <f>D131&amp;"-"&amp;RIGHT(E131,2)</f>
        <v/>
      </c>
      <c r="B131">
        <f>A131&amp;"|"&amp;F131</f>
        <v/>
      </c>
      <c r="C131" t="n">
        <v>6</v>
      </c>
      <c r="D131" t="inlineStr">
        <is>
          <t>Jun</t>
        </is>
      </c>
      <c r="E131" t="n">
        <v>2027</v>
      </c>
      <c r="F131" t="inlineStr">
        <is>
          <t>W4</t>
        </is>
      </c>
      <c r="G131" t="inlineStr">
        <is>
          <t>W25</t>
        </is>
      </c>
      <c r="H131" s="3">
        <f>I130+1</f>
        <v/>
      </c>
      <c r="I131" s="3">
        <f>H131+6</f>
        <v/>
      </c>
      <c r="J131" s="1">
        <f>IF(NOT(MONTH(H131)=MONTH(I131)),I131-DATE(E131,C131,1)+1,
IF(MONTH(I131)=C131-1, 0,7))</f>
        <v/>
      </c>
      <c r="K131" s="1">
        <f>7-J131</f>
        <v/>
      </c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>
        <v>56</v>
      </c>
      <c r="W131" s="26" t="n">
        <v>56</v>
      </c>
    </row>
    <row r="132">
      <c r="A132">
        <f>D132&amp;"-"&amp;RIGHT(E132,2)</f>
        <v/>
      </c>
      <c r="B132">
        <f>A132&amp;"|"&amp;F132</f>
        <v/>
      </c>
      <c r="C132" t="n">
        <v>6</v>
      </c>
      <c r="D132" t="inlineStr">
        <is>
          <t>Jun</t>
        </is>
      </c>
      <c r="E132" t="n">
        <v>2027</v>
      </c>
      <c r="F132" t="inlineStr">
        <is>
          <t>W5</t>
        </is>
      </c>
      <c r="G132" t="inlineStr">
        <is>
          <t>W26</t>
        </is>
      </c>
      <c r="H132" s="3">
        <f>I131+1</f>
        <v/>
      </c>
      <c r="I132" s="3">
        <f>H132+6</f>
        <v/>
      </c>
      <c r="J132" s="1">
        <f>IF(NOT(MONTH(H132)=MONTH(I132)),I132-DATE(E132,C132,1)+1,
IF(MONTH(I132)=C132-1, 0,7))</f>
        <v/>
      </c>
      <c r="K132" s="1">
        <f>7-J132</f>
        <v/>
      </c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>
        <v>56</v>
      </c>
      <c r="W132" s="26" t="n">
        <v>56</v>
      </c>
    </row>
    <row r="133">
      <c r="A133">
        <f>D133&amp;"-"&amp;RIGHT(E133,2)</f>
        <v/>
      </c>
      <c r="B133">
        <f>A133&amp;"|"&amp;F133</f>
        <v/>
      </c>
      <c r="C133" t="n">
        <v>7</v>
      </c>
      <c r="D133" t="inlineStr">
        <is>
          <t>Jul</t>
        </is>
      </c>
      <c r="E133" t="n">
        <v>2027</v>
      </c>
      <c r="F133" t="inlineStr">
        <is>
          <t>W1</t>
        </is>
      </c>
      <c r="G133" t="inlineStr">
        <is>
          <t>W27</t>
        </is>
      </c>
      <c r="H133" s="3">
        <f>I132+1</f>
        <v/>
      </c>
      <c r="I133" s="3">
        <f>H133+6</f>
        <v/>
      </c>
      <c r="J133" s="1">
        <f>IF(NOT(MONTH(H133)=MONTH(I133)),I133-DATE(E133,C133,1)+1,
IF(MONTH(I133)=C133-1, 0,7))</f>
        <v/>
      </c>
      <c r="K133" s="1">
        <f>7-J133</f>
        <v/>
      </c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>
        <v>56</v>
      </c>
      <c r="W133" s="26" t="n">
        <v>56</v>
      </c>
    </row>
    <row r="134">
      <c r="A134">
        <f>D134&amp;"-"&amp;RIGHT(E134,2)</f>
        <v/>
      </c>
      <c r="B134">
        <f>A134&amp;"|"&amp;F134</f>
        <v/>
      </c>
      <c r="C134" t="n">
        <v>7</v>
      </c>
      <c r="D134" t="inlineStr">
        <is>
          <t>Jul</t>
        </is>
      </c>
      <c r="E134" t="n">
        <v>2027</v>
      </c>
      <c r="F134" t="inlineStr">
        <is>
          <t>W2</t>
        </is>
      </c>
      <c r="G134" t="inlineStr">
        <is>
          <t>W28</t>
        </is>
      </c>
      <c r="H134" s="3">
        <f>I133+1</f>
        <v/>
      </c>
      <c r="I134" s="3">
        <f>H134+6</f>
        <v/>
      </c>
      <c r="J134" s="1">
        <f>IF(NOT(MONTH(H134)=MONTH(I134)),I134-DATE(E134,C134,1)+1,
IF(MONTH(I134)=C134-1, 0,7))</f>
        <v/>
      </c>
      <c r="K134" s="1">
        <f>7-J134</f>
        <v/>
      </c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>
        <v>56</v>
      </c>
      <c r="W134" s="26" t="n">
        <v>56</v>
      </c>
    </row>
    <row r="135">
      <c r="A135">
        <f>D135&amp;"-"&amp;RIGHT(E135,2)</f>
        <v/>
      </c>
      <c r="B135">
        <f>A135&amp;"|"&amp;F135</f>
        <v/>
      </c>
      <c r="C135" t="n">
        <v>7</v>
      </c>
      <c r="D135" t="inlineStr">
        <is>
          <t>Jul</t>
        </is>
      </c>
      <c r="E135" t="n">
        <v>2027</v>
      </c>
      <c r="F135" t="inlineStr">
        <is>
          <t>W3</t>
        </is>
      </c>
      <c r="G135" t="inlineStr">
        <is>
          <t>W29</t>
        </is>
      </c>
      <c r="H135" s="3">
        <f>I134+1</f>
        <v/>
      </c>
      <c r="I135" s="3">
        <f>H135+6</f>
        <v/>
      </c>
      <c r="J135" s="1">
        <f>IF(NOT(MONTH(H135)=MONTH(I135)),I135-DATE(E135,C135,1)+1,
IF(MONTH(I135)=C135-1, 0,7))</f>
        <v/>
      </c>
      <c r="K135" s="1">
        <f>7-J135</f>
        <v/>
      </c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>
        <v>56</v>
      </c>
      <c r="W135" s="26" t="n">
        <v>56</v>
      </c>
    </row>
    <row r="136">
      <c r="A136">
        <f>D136&amp;"-"&amp;RIGHT(E136,2)</f>
        <v/>
      </c>
      <c r="B136">
        <f>A136&amp;"|"&amp;F136</f>
        <v/>
      </c>
      <c r="C136" t="n">
        <v>7</v>
      </c>
      <c r="D136" t="inlineStr">
        <is>
          <t>Jul</t>
        </is>
      </c>
      <c r="E136" t="n">
        <v>2027</v>
      </c>
      <c r="F136" t="inlineStr">
        <is>
          <t>W4</t>
        </is>
      </c>
      <c r="G136" t="inlineStr">
        <is>
          <t>W30</t>
        </is>
      </c>
      <c r="H136" s="3">
        <f>I135+1</f>
        <v/>
      </c>
      <c r="I136" s="3">
        <f>H136+6</f>
        <v/>
      </c>
      <c r="J136" s="1">
        <f>IF(NOT(MONTH(H136)=MONTH(I136)),I136-DATE(E136,C136,1)+1,
IF(MONTH(I136)=C136-1, 0,7))</f>
        <v/>
      </c>
      <c r="K136" s="1">
        <f>7-J136</f>
        <v/>
      </c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>
        <v>56</v>
      </c>
      <c r="W136" s="26" t="n">
        <v>56</v>
      </c>
    </row>
    <row r="137">
      <c r="A137">
        <f>D137&amp;"-"&amp;RIGHT(E137,2)</f>
        <v/>
      </c>
      <c r="B137">
        <f>A137&amp;"|"&amp;F137</f>
        <v/>
      </c>
      <c r="C137" t="n">
        <v>8</v>
      </c>
      <c r="D137" t="inlineStr">
        <is>
          <t>Aug</t>
        </is>
      </c>
      <c r="E137" t="n">
        <v>2027</v>
      </c>
      <c r="F137" t="inlineStr">
        <is>
          <t>W1</t>
        </is>
      </c>
      <c r="G137" t="inlineStr">
        <is>
          <t>W31</t>
        </is>
      </c>
      <c r="H137" s="3">
        <f>I136+1</f>
        <v/>
      </c>
      <c r="I137" s="3">
        <f>H137+6</f>
        <v/>
      </c>
      <c r="J137" s="1">
        <f>IF(NOT(MONTH(H137)=MONTH(I137)),I137-DATE(E137,C137,1)+1,
IF(MONTH(I137)=C137-1, 0,7))</f>
        <v/>
      </c>
      <c r="K137" s="1">
        <f>7-J137</f>
        <v/>
      </c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>
        <v>56</v>
      </c>
      <c r="W137" s="26" t="n">
        <v>56</v>
      </c>
    </row>
    <row r="138">
      <c r="A138">
        <f>D138&amp;"-"&amp;RIGHT(E138,2)</f>
        <v/>
      </c>
      <c r="B138">
        <f>A138&amp;"|"&amp;F138</f>
        <v/>
      </c>
      <c r="C138" t="n">
        <v>8</v>
      </c>
      <c r="D138" t="inlineStr">
        <is>
          <t>Aug</t>
        </is>
      </c>
      <c r="E138" t="n">
        <v>2027</v>
      </c>
      <c r="F138" t="inlineStr">
        <is>
          <t>W2</t>
        </is>
      </c>
      <c r="G138" t="inlineStr">
        <is>
          <t>W32</t>
        </is>
      </c>
      <c r="H138" s="3">
        <f>I137+1</f>
        <v/>
      </c>
      <c r="I138" s="3">
        <f>H138+6</f>
        <v/>
      </c>
      <c r="J138" s="1">
        <f>IF(NOT(MONTH(H138)=MONTH(I138)),I138-DATE(E138,C138,1)+1,
IF(MONTH(I138)=C138-1, 0,7))</f>
        <v/>
      </c>
      <c r="K138" s="1">
        <f>7-J138</f>
        <v/>
      </c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>
        <v>56</v>
      </c>
      <c r="W138" s="26" t="n">
        <v>56</v>
      </c>
    </row>
    <row r="139">
      <c r="A139">
        <f>D139&amp;"-"&amp;RIGHT(E139,2)</f>
        <v/>
      </c>
      <c r="B139">
        <f>A139&amp;"|"&amp;F139</f>
        <v/>
      </c>
      <c r="C139" t="n">
        <v>8</v>
      </c>
      <c r="D139" t="inlineStr">
        <is>
          <t>Aug</t>
        </is>
      </c>
      <c r="E139" t="n">
        <v>2027</v>
      </c>
      <c r="F139" t="inlineStr">
        <is>
          <t>W3</t>
        </is>
      </c>
      <c r="G139" t="inlineStr">
        <is>
          <t>W33</t>
        </is>
      </c>
      <c r="H139" s="3">
        <f>I138+1</f>
        <v/>
      </c>
      <c r="I139" s="3">
        <f>H139+6</f>
        <v/>
      </c>
      <c r="J139" s="1">
        <f>IF(NOT(MONTH(H139)=MONTH(I139)),I139-DATE(E139,C139,1)+1,
IF(MONTH(I139)=C139-1, 0,7))</f>
        <v/>
      </c>
      <c r="K139" s="1">
        <f>7-J139</f>
        <v/>
      </c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>
        <v>56</v>
      </c>
      <c r="W139" s="26" t="n">
        <v>56</v>
      </c>
    </row>
    <row r="140">
      <c r="A140">
        <f>D140&amp;"-"&amp;RIGHT(E140,2)</f>
        <v/>
      </c>
      <c r="B140">
        <f>A140&amp;"|"&amp;F140</f>
        <v/>
      </c>
      <c r="C140" t="n">
        <v>8</v>
      </c>
      <c r="D140" t="inlineStr">
        <is>
          <t>Aug</t>
        </is>
      </c>
      <c r="E140" t="n">
        <v>2027</v>
      </c>
      <c r="F140" t="inlineStr">
        <is>
          <t>W4</t>
        </is>
      </c>
      <c r="G140" t="inlineStr">
        <is>
          <t>W34</t>
        </is>
      </c>
      <c r="H140" s="3">
        <f>I139+1</f>
        <v/>
      </c>
      <c r="I140" s="3">
        <f>H140+6</f>
        <v/>
      </c>
      <c r="J140" s="1">
        <f>IF(NOT(MONTH(H140)=MONTH(I140)),I140-DATE(E140,C140,1)+1,
IF(MONTH(I140)=C140-1, 0,7))</f>
        <v/>
      </c>
      <c r="K140" s="1">
        <f>7-J140</f>
        <v/>
      </c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>
        <v>56</v>
      </c>
      <c r="W140" s="26" t="n">
        <v>56</v>
      </c>
    </row>
    <row r="141">
      <c r="A141">
        <f>D141&amp;"-"&amp;RIGHT(E141,2)</f>
        <v/>
      </c>
      <c r="B141">
        <f>A141&amp;"|"&amp;F141</f>
        <v/>
      </c>
      <c r="C141" t="n">
        <v>9</v>
      </c>
      <c r="D141" t="inlineStr">
        <is>
          <t>Sep</t>
        </is>
      </c>
      <c r="E141" t="n">
        <v>2027</v>
      </c>
      <c r="F141" t="inlineStr">
        <is>
          <t>W1</t>
        </is>
      </c>
      <c r="G141" t="inlineStr">
        <is>
          <t>W35</t>
        </is>
      </c>
      <c r="H141" s="3">
        <f>I140+1</f>
        <v/>
      </c>
      <c r="I141" s="3">
        <f>H141+6</f>
        <v/>
      </c>
      <c r="J141" s="1">
        <f>IF(NOT(MONTH(H141)=MONTH(I141)),I141-DATE(E141,C141,1)+1,
IF(MONTH(I141)=C141-1, 0,7))</f>
        <v/>
      </c>
      <c r="K141" s="1">
        <f>7-J141</f>
        <v/>
      </c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>
        <v>56</v>
      </c>
      <c r="W141" s="26" t="n">
        <v>56</v>
      </c>
    </row>
    <row r="142">
      <c r="A142">
        <f>D142&amp;"-"&amp;RIGHT(E142,2)</f>
        <v/>
      </c>
      <c r="B142">
        <f>A142&amp;"|"&amp;F142</f>
        <v/>
      </c>
      <c r="C142" t="n">
        <v>9</v>
      </c>
      <c r="D142" t="inlineStr">
        <is>
          <t>Sep</t>
        </is>
      </c>
      <c r="E142" t="n">
        <v>2027</v>
      </c>
      <c r="F142" t="inlineStr">
        <is>
          <t>W2</t>
        </is>
      </c>
      <c r="G142" t="inlineStr">
        <is>
          <t>W36</t>
        </is>
      </c>
      <c r="H142" s="3">
        <f>I141+1</f>
        <v/>
      </c>
      <c r="I142" s="3">
        <f>H142+6</f>
        <v/>
      </c>
      <c r="J142" s="1">
        <f>IF(NOT(MONTH(H142)=MONTH(I142)),I142-DATE(E142,C142,1)+1,
IF(MONTH(I142)=C142-1, 0,7))</f>
        <v/>
      </c>
      <c r="K142" s="1">
        <f>7-J142</f>
        <v/>
      </c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>
        <v>56</v>
      </c>
      <c r="W142" s="26" t="n">
        <v>56</v>
      </c>
    </row>
    <row r="143">
      <c r="A143">
        <f>D143&amp;"-"&amp;RIGHT(E143,2)</f>
        <v/>
      </c>
      <c r="B143">
        <f>A143&amp;"|"&amp;F143</f>
        <v/>
      </c>
      <c r="C143" t="n">
        <v>9</v>
      </c>
      <c r="D143" t="inlineStr">
        <is>
          <t>Sep</t>
        </is>
      </c>
      <c r="E143" t="n">
        <v>2027</v>
      </c>
      <c r="F143" t="inlineStr">
        <is>
          <t>W3</t>
        </is>
      </c>
      <c r="G143" t="inlineStr">
        <is>
          <t>W37</t>
        </is>
      </c>
      <c r="H143" s="3">
        <f>I142+1</f>
        <v/>
      </c>
      <c r="I143" s="3">
        <f>H143+6</f>
        <v/>
      </c>
      <c r="J143" s="1">
        <f>IF(NOT(MONTH(H143)=MONTH(I143)),I143-DATE(E143,C143,1)+1,
IF(MONTH(I143)=C143-1, 0,7))</f>
        <v/>
      </c>
      <c r="K143" s="1">
        <f>7-J143</f>
        <v/>
      </c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>
        <v>56</v>
      </c>
      <c r="W143" s="26" t="n">
        <v>56</v>
      </c>
    </row>
    <row r="144">
      <c r="A144">
        <f>D144&amp;"-"&amp;RIGHT(E144,2)</f>
        <v/>
      </c>
      <c r="B144">
        <f>A144&amp;"|"&amp;F144</f>
        <v/>
      </c>
      <c r="C144" t="n">
        <v>9</v>
      </c>
      <c r="D144" t="inlineStr">
        <is>
          <t>Sep</t>
        </is>
      </c>
      <c r="E144" t="n">
        <v>2027</v>
      </c>
      <c r="F144" t="inlineStr">
        <is>
          <t>W4</t>
        </is>
      </c>
      <c r="G144" t="inlineStr">
        <is>
          <t>W38</t>
        </is>
      </c>
      <c r="H144" s="3">
        <f>I143+1</f>
        <v/>
      </c>
      <c r="I144" s="3">
        <f>H144+6</f>
        <v/>
      </c>
      <c r="J144" s="1">
        <f>IF(NOT(MONTH(H144)=MONTH(I144)),I144-DATE(E144,C144,1)+1,
    IF(MONTH(I144)=C144-1, 0,7))</f>
        <v/>
      </c>
      <c r="K144" s="1">
        <f>7-J144</f>
        <v/>
      </c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>
        <v>56</v>
      </c>
      <c r="W144" s="26" t="n">
        <v>56</v>
      </c>
    </row>
    <row r="145">
      <c r="A145">
        <f>D145&amp;"-"&amp;RIGHT(E145,2)</f>
        <v/>
      </c>
      <c r="B145">
        <f>A145&amp;"|"&amp;F145</f>
        <v/>
      </c>
      <c r="C145" t="n">
        <v>9</v>
      </c>
      <c r="D145" t="inlineStr">
        <is>
          <t>Sep</t>
        </is>
      </c>
      <c r="E145" t="n">
        <v>2027</v>
      </c>
      <c r="F145" t="inlineStr">
        <is>
          <t>W5</t>
        </is>
      </c>
      <c r="G145" t="inlineStr">
        <is>
          <t>W39</t>
        </is>
      </c>
      <c r="H145" s="3">
        <f>I144+1</f>
        <v/>
      </c>
      <c r="I145" s="3">
        <f>H145+6</f>
        <v/>
      </c>
      <c r="J145" s="1">
        <f>IF(NOT(MONTH(H145)=MONTH(I145)),I145-DATE(E145,C145,1)+1,
IF(MONTH(I145)=C145-1, 0,7))</f>
        <v/>
      </c>
      <c r="K145" s="1">
        <f>7-J145</f>
        <v/>
      </c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>
        <v>56</v>
      </c>
      <c r="W145" s="26" t="n">
        <v>56</v>
      </c>
    </row>
    <row r="146">
      <c r="A146">
        <f>D146&amp;"-"&amp;RIGHT(E146,2)</f>
        <v/>
      </c>
      <c r="B146">
        <f>A146&amp;"|"&amp;F146</f>
        <v/>
      </c>
      <c r="C146" t="n">
        <v>10</v>
      </c>
      <c r="D146" t="inlineStr">
        <is>
          <t>Oct</t>
        </is>
      </c>
      <c r="E146" t="n">
        <v>2027</v>
      </c>
      <c r="F146" t="inlineStr">
        <is>
          <t>W1</t>
        </is>
      </c>
      <c r="G146" t="inlineStr">
        <is>
          <t>W40</t>
        </is>
      </c>
      <c r="H146" s="3">
        <f>I145+1</f>
        <v/>
      </c>
      <c r="I146" s="3">
        <f>H146+6</f>
        <v/>
      </c>
      <c r="J146" s="1">
        <f>IF(NOT(MONTH(H146)=MONTH(I146)),I146-DATE(E146,C146,1)+1,
IF(MONTH(I146)=C146-1, 0,7))</f>
        <v/>
      </c>
      <c r="K146" s="1">
        <f>7-J146</f>
        <v/>
      </c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>
        <v>56</v>
      </c>
      <c r="W146" s="26" t="n">
        <v>56</v>
      </c>
    </row>
    <row r="147">
      <c r="A147">
        <f>D147&amp;"-"&amp;RIGHT(E147,2)</f>
        <v/>
      </c>
      <c r="B147">
        <f>A147&amp;"|"&amp;F147</f>
        <v/>
      </c>
      <c r="C147" t="n">
        <v>10</v>
      </c>
      <c r="D147" t="inlineStr">
        <is>
          <t>Oct</t>
        </is>
      </c>
      <c r="E147" t="n">
        <v>2027</v>
      </c>
      <c r="F147" t="inlineStr">
        <is>
          <t>W2</t>
        </is>
      </c>
      <c r="G147" t="inlineStr">
        <is>
          <t>W41</t>
        </is>
      </c>
      <c r="H147" s="3">
        <f>I146+1</f>
        <v/>
      </c>
      <c r="I147" s="3">
        <f>H147+6</f>
        <v/>
      </c>
      <c r="J147" s="1">
        <f>IF(NOT(MONTH(H147)=MONTH(I147)),I147-DATE(E147,C147,1)+1,
IF(MONTH(I147)=C147-1, 0,7))</f>
        <v/>
      </c>
      <c r="K147" s="1">
        <f>7-J147</f>
        <v/>
      </c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>
        <v>56</v>
      </c>
      <c r="W147" s="26" t="n">
        <v>56</v>
      </c>
    </row>
    <row r="148">
      <c r="A148">
        <f>D148&amp;"-"&amp;RIGHT(E148,2)</f>
        <v/>
      </c>
      <c r="B148">
        <f>A148&amp;"|"&amp;F148</f>
        <v/>
      </c>
      <c r="C148" t="n">
        <v>10</v>
      </c>
      <c r="D148" t="inlineStr">
        <is>
          <t>Oct</t>
        </is>
      </c>
      <c r="E148" t="n">
        <v>2027</v>
      </c>
      <c r="F148" t="inlineStr">
        <is>
          <t>W3</t>
        </is>
      </c>
      <c r="G148" t="inlineStr">
        <is>
          <t>W42</t>
        </is>
      </c>
      <c r="H148" s="3">
        <f>I147+1</f>
        <v/>
      </c>
      <c r="I148" s="3">
        <f>H148+6</f>
        <v/>
      </c>
      <c r="J148" s="1">
        <f>IF(NOT(MONTH(H148)=MONTH(I148)),I148-DATE(E148,C148,1)+1,
IF(MONTH(I148)=C148-1, 0,7))</f>
        <v/>
      </c>
      <c r="K148" s="1">
        <f>7-J148</f>
        <v/>
      </c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>
        <v>56</v>
      </c>
      <c r="W148" s="26" t="n">
        <v>56</v>
      </c>
    </row>
    <row r="149">
      <c r="A149">
        <f>D149&amp;"-"&amp;RIGHT(E149,2)</f>
        <v/>
      </c>
      <c r="B149">
        <f>A149&amp;"|"&amp;F149</f>
        <v/>
      </c>
      <c r="C149" t="n">
        <v>10</v>
      </c>
      <c r="D149" t="inlineStr">
        <is>
          <t>Oct</t>
        </is>
      </c>
      <c r="E149" t="n">
        <v>2027</v>
      </c>
      <c r="F149" t="inlineStr">
        <is>
          <t>W4</t>
        </is>
      </c>
      <c r="G149" t="inlineStr">
        <is>
          <t>W43</t>
        </is>
      </c>
      <c r="H149" s="3">
        <f>I148+1</f>
        <v/>
      </c>
      <c r="I149" s="3">
        <f>H149+6</f>
        <v/>
      </c>
      <c r="J149" s="1">
        <f>IF(NOT(MONTH(H149)=MONTH(I149)),I149-DATE(E149,C149,1)+1,
IF(MONTH(I149)=C149-1, 0,7))</f>
        <v/>
      </c>
      <c r="K149" s="1">
        <f>7-J149</f>
        <v/>
      </c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>
        <v>56</v>
      </c>
      <c r="W149" s="26" t="n">
        <v>56</v>
      </c>
    </row>
    <row r="150">
      <c r="A150">
        <f>D150&amp;"-"&amp;RIGHT(E150,2)</f>
        <v/>
      </c>
      <c r="B150">
        <f>A150&amp;"|"&amp;F150</f>
        <v/>
      </c>
      <c r="C150" t="n">
        <v>11</v>
      </c>
      <c r="D150" t="inlineStr">
        <is>
          <t>Nov</t>
        </is>
      </c>
      <c r="E150" t="n">
        <v>2027</v>
      </c>
      <c r="F150" t="inlineStr">
        <is>
          <t>W1</t>
        </is>
      </c>
      <c r="G150" t="inlineStr">
        <is>
          <t>W44</t>
        </is>
      </c>
      <c r="H150" s="3">
        <f>I149+1</f>
        <v/>
      </c>
      <c r="I150" s="3">
        <f>H150+6</f>
        <v/>
      </c>
      <c r="J150" s="1">
        <f>IF(NOT(MONTH(H150)=MONTH(I150)),I150-DATE(E150,C150,1)+1,
IF(MONTH(I150)=C150-1, 0,7))</f>
        <v/>
      </c>
      <c r="K150" s="1">
        <f>7-J150</f>
        <v/>
      </c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>
        <v>56</v>
      </c>
      <c r="W150" s="26" t="n">
        <v>56</v>
      </c>
    </row>
    <row r="151">
      <c r="A151">
        <f>D151&amp;"-"&amp;RIGHT(E151,2)</f>
        <v/>
      </c>
      <c r="B151">
        <f>A151&amp;"|"&amp;F151</f>
        <v/>
      </c>
      <c r="C151" t="n">
        <v>11</v>
      </c>
      <c r="D151" t="inlineStr">
        <is>
          <t>Nov</t>
        </is>
      </c>
      <c r="E151" t="n">
        <v>2027</v>
      </c>
      <c r="F151" t="inlineStr">
        <is>
          <t>W2</t>
        </is>
      </c>
      <c r="G151" t="inlineStr">
        <is>
          <t>W45</t>
        </is>
      </c>
      <c r="H151" s="3">
        <f>I150+1</f>
        <v/>
      </c>
      <c r="I151" s="3">
        <f>H151+6</f>
        <v/>
      </c>
      <c r="J151" s="1">
        <f>IF(NOT(MONTH(H151)=MONTH(I151)),I151-DATE(E151,C151,1)+1,
IF(MONTH(I151)=C151-1, 0,7))</f>
        <v/>
      </c>
      <c r="K151" s="1">
        <f>7-J151</f>
        <v/>
      </c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>
        <v>56</v>
      </c>
      <c r="W151" s="26" t="n">
        <v>56</v>
      </c>
    </row>
    <row r="152">
      <c r="A152">
        <f>D152&amp;"-"&amp;RIGHT(E152,2)</f>
        <v/>
      </c>
      <c r="B152">
        <f>A152&amp;"|"&amp;F152</f>
        <v/>
      </c>
      <c r="C152" t="n">
        <v>11</v>
      </c>
      <c r="D152" t="inlineStr">
        <is>
          <t>Nov</t>
        </is>
      </c>
      <c r="E152" t="n">
        <v>2027</v>
      </c>
      <c r="F152" t="inlineStr">
        <is>
          <t>W3</t>
        </is>
      </c>
      <c r="G152" t="inlineStr">
        <is>
          <t>W46</t>
        </is>
      </c>
      <c r="H152" s="3">
        <f>I151+1</f>
        <v/>
      </c>
      <c r="I152" s="3">
        <f>H152+6</f>
        <v/>
      </c>
      <c r="J152" s="1">
        <f>IF(NOT(MONTH(H152)=MONTH(I152)),I152-DATE(E152,C152,1)+1,
IF(MONTH(I152)=C152-1, 0,7))</f>
        <v/>
      </c>
      <c r="K152" s="1">
        <f>7-J152</f>
        <v/>
      </c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>
        <v>56</v>
      </c>
      <c r="W152" s="26" t="n">
        <v>56</v>
      </c>
    </row>
    <row r="153">
      <c r="A153">
        <f>D153&amp;"-"&amp;RIGHT(E153,2)</f>
        <v/>
      </c>
      <c r="B153">
        <f>A153&amp;"|"&amp;F153</f>
        <v/>
      </c>
      <c r="C153" t="n">
        <v>11</v>
      </c>
      <c r="D153" t="inlineStr">
        <is>
          <t>Nov</t>
        </is>
      </c>
      <c r="E153" t="n">
        <v>2027</v>
      </c>
      <c r="F153" t="inlineStr">
        <is>
          <t>W4</t>
        </is>
      </c>
      <c r="G153" t="inlineStr">
        <is>
          <t>W47</t>
        </is>
      </c>
      <c r="H153" s="3">
        <f>I152+1</f>
        <v/>
      </c>
      <c r="I153" s="3">
        <f>H153+6</f>
        <v/>
      </c>
      <c r="J153" s="1">
        <f>IF(NOT(MONTH(H153)=MONTH(I153)),I153-DATE(E153,C153,1)+1,
IF(MONTH(I153)=C153-1, 0,7))</f>
        <v/>
      </c>
      <c r="K153" s="1">
        <f>7-J153</f>
        <v/>
      </c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>
        <v>56</v>
      </c>
      <c r="W153" s="26" t="n">
        <v>56</v>
      </c>
    </row>
    <row r="154">
      <c r="A154">
        <f>D154&amp;"-"&amp;RIGHT(E154,2)</f>
        <v/>
      </c>
      <c r="B154">
        <f>A154&amp;"|"&amp;F154</f>
        <v/>
      </c>
      <c r="C154" t="n">
        <v>12</v>
      </c>
      <c r="D154" t="inlineStr">
        <is>
          <t>Dec</t>
        </is>
      </c>
      <c r="E154" t="n">
        <v>2027</v>
      </c>
      <c r="F154" t="inlineStr">
        <is>
          <t>W1</t>
        </is>
      </c>
      <c r="G154" t="inlineStr">
        <is>
          <t>W48</t>
        </is>
      </c>
      <c r="H154" s="3">
        <f>I153+1</f>
        <v/>
      </c>
      <c r="I154" s="3">
        <f>H154+6</f>
        <v/>
      </c>
      <c r="J154" s="1">
        <f>IF(NOT(MONTH(H154)=MONTH(I154)),I154-DATE(E154,C154,1)+1,
IF(MONTH(I154)=C154-1, 0,7))</f>
        <v/>
      </c>
      <c r="K154" s="1">
        <f>7-J154</f>
        <v/>
      </c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>
        <v>56</v>
      </c>
      <c r="W154" s="26" t="n">
        <v>56</v>
      </c>
    </row>
    <row r="155">
      <c r="A155">
        <f>D155&amp;"-"&amp;RIGHT(E155,2)</f>
        <v/>
      </c>
      <c r="B155">
        <f>A155&amp;"|"&amp;F155</f>
        <v/>
      </c>
      <c r="C155" t="n">
        <v>12</v>
      </c>
      <c r="D155" t="inlineStr">
        <is>
          <t>Dec</t>
        </is>
      </c>
      <c r="E155" t="n">
        <v>2027</v>
      </c>
      <c r="F155" t="inlineStr">
        <is>
          <t>W2</t>
        </is>
      </c>
      <c r="G155" t="inlineStr">
        <is>
          <t>W49</t>
        </is>
      </c>
      <c r="H155" s="3">
        <f>I154+1</f>
        <v/>
      </c>
      <c r="I155" s="3">
        <f>H155+6</f>
        <v/>
      </c>
      <c r="J155" s="1">
        <f>IF(NOT(MONTH(H155)=MONTH(I155)),I155-DATE(E155,C155,1)+1,
IF(MONTH(I155)=C155-1, 0,7))</f>
        <v/>
      </c>
      <c r="K155" s="1">
        <f>7-J155</f>
        <v/>
      </c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>
        <v>56</v>
      </c>
      <c r="W155" s="26" t="n">
        <v>56</v>
      </c>
    </row>
    <row r="156">
      <c r="A156">
        <f>D156&amp;"-"&amp;RIGHT(E156,2)</f>
        <v/>
      </c>
      <c r="B156">
        <f>A156&amp;"|"&amp;F156</f>
        <v/>
      </c>
      <c r="C156" t="n">
        <v>12</v>
      </c>
      <c r="D156" t="inlineStr">
        <is>
          <t>Dec</t>
        </is>
      </c>
      <c r="E156" t="n">
        <v>2027</v>
      </c>
      <c r="F156" t="inlineStr">
        <is>
          <t>W3</t>
        </is>
      </c>
      <c r="G156" t="inlineStr">
        <is>
          <t>W50</t>
        </is>
      </c>
      <c r="H156" s="3">
        <f>I155+1</f>
        <v/>
      </c>
      <c r="I156" s="3">
        <f>H156+6</f>
        <v/>
      </c>
      <c r="J156" s="1">
        <f>IF(NOT(MONTH(H156)=MONTH(I156)),I156-DATE(E156,C156,1)+1,
IF(MONTH(I156)=C156-1, 0,7))</f>
        <v/>
      </c>
      <c r="K156" s="1">
        <f>7-J156</f>
        <v/>
      </c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>
        <v>56</v>
      </c>
      <c r="W156" s="26" t="n">
        <v>56</v>
      </c>
    </row>
    <row r="157">
      <c r="A157">
        <f>D157&amp;"-"&amp;RIGHT(E157,2)</f>
        <v/>
      </c>
      <c r="B157">
        <f>A157&amp;"|"&amp;F157</f>
        <v/>
      </c>
      <c r="C157" t="n">
        <v>12</v>
      </c>
      <c r="D157" t="inlineStr">
        <is>
          <t>Dec</t>
        </is>
      </c>
      <c r="E157" t="n">
        <v>2027</v>
      </c>
      <c r="F157" t="inlineStr">
        <is>
          <t>W4</t>
        </is>
      </c>
      <c r="G157" t="inlineStr">
        <is>
          <t>W51</t>
        </is>
      </c>
      <c r="H157" s="3">
        <f>I156+1</f>
        <v/>
      </c>
      <c r="I157" s="3">
        <f>H157+6</f>
        <v/>
      </c>
      <c r="J157" s="1">
        <f>IF(NOT(MONTH(H157)=MONTH(I157)),I157-DATE(E157,C157,1)+1,
IF(MONTH(I157)=C157-1, 0,7))</f>
        <v/>
      </c>
      <c r="K157" s="1">
        <f>7-J157</f>
        <v/>
      </c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>
        <v>56</v>
      </c>
      <c r="W157" s="26" t="n">
        <v>56</v>
      </c>
    </row>
    <row r="158">
      <c r="A158">
        <f>D158&amp;"-"&amp;RIGHT(E158,2)</f>
        <v/>
      </c>
      <c r="B158">
        <f>A158&amp;"|"&amp;F158</f>
        <v/>
      </c>
      <c r="C158" t="n">
        <v>12</v>
      </c>
      <c r="D158" t="inlineStr">
        <is>
          <t>Dec</t>
        </is>
      </c>
      <c r="E158" t="n">
        <v>2027</v>
      </c>
      <c r="F158" t="inlineStr">
        <is>
          <t>W5</t>
        </is>
      </c>
      <c r="G158" t="inlineStr">
        <is>
          <t>W52</t>
        </is>
      </c>
      <c r="H158" s="3">
        <f>I157+1</f>
        <v/>
      </c>
      <c r="I158" s="3">
        <f>H158+6</f>
        <v/>
      </c>
      <c r="J158" s="1">
        <f>IF(NOT(MONTH(H158)=MONTH(I158)),I158-DATE(E158,C158,1)+1,
IF(MONTH(I158)=C158-1, 0,7))</f>
        <v/>
      </c>
      <c r="K158" s="1">
        <f>7-J158</f>
        <v/>
      </c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>
        <v>56</v>
      </c>
      <c r="W158" s="26" t="n">
        <v>56</v>
      </c>
    </row>
    <row r="159">
      <c r="A159">
        <f>D159&amp;"-"&amp;RIGHT(E159,2)</f>
        <v/>
      </c>
      <c r="B159">
        <f>A159&amp;"|"&amp;F159</f>
        <v/>
      </c>
      <c r="C159" t="n">
        <v>1</v>
      </c>
      <c r="D159" t="inlineStr">
        <is>
          <t>Jan</t>
        </is>
      </c>
      <c r="E159" t="n">
        <v>2028</v>
      </c>
      <c r="F159" t="inlineStr">
        <is>
          <t>W1</t>
        </is>
      </c>
      <c r="G159" s="2" t="inlineStr">
        <is>
          <t>W1</t>
        </is>
      </c>
      <c r="H159" s="3">
        <f>I158+1</f>
        <v/>
      </c>
      <c r="I159" s="3">
        <f>H159+6</f>
        <v/>
      </c>
      <c r="J159" s="1">
        <f>IF(NOT(MONTH(H159)=MONTH(I159)),I159-DATE(E159,C159,1)+1,
IF(MONTH(I159)=C159-1, 0,7))</f>
        <v/>
      </c>
      <c r="K159" s="1">
        <f>7-J159</f>
        <v/>
      </c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>
        <v>56</v>
      </c>
      <c r="W159" s="26" t="n">
        <v>56</v>
      </c>
    </row>
    <row r="160">
      <c r="A160">
        <f>D160&amp;"-"&amp;RIGHT(E160,2)</f>
        <v/>
      </c>
      <c r="B160">
        <f>A160&amp;"|"&amp;F160</f>
        <v/>
      </c>
      <c r="C160" t="n">
        <v>1</v>
      </c>
      <c r="D160" t="inlineStr">
        <is>
          <t>Jan</t>
        </is>
      </c>
      <c r="E160" t="n">
        <v>2028</v>
      </c>
      <c r="F160" t="inlineStr">
        <is>
          <t>W2</t>
        </is>
      </c>
      <c r="G160" t="inlineStr">
        <is>
          <t>W2</t>
        </is>
      </c>
      <c r="H160" s="3">
        <f>I159+1</f>
        <v/>
      </c>
      <c r="I160" s="3">
        <f>H160+6</f>
        <v/>
      </c>
      <c r="J160" s="1">
        <f>IF(NOT(MONTH(H160)=MONTH(I160)),I160-DATE(E160,C160,1)+1,
IF(MONTH(I160)=C160-1, 0,7))</f>
        <v/>
      </c>
      <c r="K160" s="1">
        <f>7-J160</f>
        <v/>
      </c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>
        <v>56</v>
      </c>
      <c r="W160" s="26" t="n">
        <v>56</v>
      </c>
    </row>
    <row r="161">
      <c r="A161">
        <f>D161&amp;"-"&amp;RIGHT(E161,2)</f>
        <v/>
      </c>
      <c r="B161">
        <f>A161&amp;"|"&amp;F161</f>
        <v/>
      </c>
      <c r="C161" t="n">
        <v>1</v>
      </c>
      <c r="D161" t="inlineStr">
        <is>
          <t>Jan</t>
        </is>
      </c>
      <c r="E161" t="n">
        <v>2028</v>
      </c>
      <c r="F161" t="inlineStr">
        <is>
          <t>W3</t>
        </is>
      </c>
      <c r="G161" t="inlineStr">
        <is>
          <t>W3</t>
        </is>
      </c>
      <c r="H161" s="3">
        <f>I160+1</f>
        <v/>
      </c>
      <c r="I161" s="3">
        <f>H161+6</f>
        <v/>
      </c>
      <c r="J161" s="1">
        <f>IF(NOT(MONTH(H161)=MONTH(I161)),I161-DATE(E161,C161,1)+1,
IF(MONTH(I161)=C161-1, 0,7))</f>
        <v/>
      </c>
      <c r="K161" s="1">
        <f>7-J161</f>
        <v/>
      </c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>
        <v>56</v>
      </c>
      <c r="W161" s="26" t="n">
        <v>56</v>
      </c>
    </row>
    <row r="162">
      <c r="A162">
        <f>D162&amp;"-"&amp;RIGHT(E162,2)</f>
        <v/>
      </c>
      <c r="B162">
        <f>A162&amp;"|"&amp;F162</f>
        <v/>
      </c>
      <c r="C162" t="n">
        <v>1</v>
      </c>
      <c r="D162" t="inlineStr">
        <is>
          <t>Jan</t>
        </is>
      </c>
      <c r="E162" t="n">
        <v>2028</v>
      </c>
      <c r="F162" t="inlineStr">
        <is>
          <t>W4</t>
        </is>
      </c>
      <c r="G162" t="inlineStr">
        <is>
          <t>W4</t>
        </is>
      </c>
      <c r="H162" s="3">
        <f>I161+1</f>
        <v/>
      </c>
      <c r="I162" s="3">
        <f>H162+6</f>
        <v/>
      </c>
      <c r="J162" s="1">
        <f>IF(NOT(MONTH(H162)=MONTH(I162)),I162-DATE(E162,C162,1)+1,
IF(MONTH(I162)=C162-1, 0,7))</f>
        <v/>
      </c>
      <c r="K162" s="1">
        <f>7-J162</f>
        <v/>
      </c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>
        <v>56</v>
      </c>
      <c r="W162" s="26" t="n">
        <v>56</v>
      </c>
    </row>
    <row r="163">
      <c r="A163">
        <f>D163&amp;"-"&amp;RIGHT(E163,2)</f>
        <v/>
      </c>
      <c r="B163">
        <f>A163&amp;"|"&amp;F163</f>
        <v/>
      </c>
      <c r="C163" t="n">
        <v>2</v>
      </c>
      <c r="D163" t="inlineStr">
        <is>
          <t>Feb</t>
        </is>
      </c>
      <c r="E163" t="n">
        <v>2028</v>
      </c>
      <c r="F163" t="inlineStr">
        <is>
          <t>W1</t>
        </is>
      </c>
      <c r="G163" t="inlineStr">
        <is>
          <t>W5</t>
        </is>
      </c>
      <c r="H163" s="3">
        <f>I162+1</f>
        <v/>
      </c>
      <c r="I163" s="3">
        <f>H163+6</f>
        <v/>
      </c>
      <c r="J163" s="1">
        <f>IF(NOT(MONTH(H163)=MONTH(I163)),I163-DATE(E163,C163,1)+1,
IF(MONTH(I163)=C163-1, 0,7))</f>
        <v/>
      </c>
      <c r="K163" s="1">
        <f>7-J163</f>
        <v/>
      </c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>
        <v>56</v>
      </c>
      <c r="W163" s="26" t="n">
        <v>56</v>
      </c>
    </row>
    <row r="164">
      <c r="A164">
        <f>D164&amp;"-"&amp;RIGHT(E164,2)</f>
        <v/>
      </c>
      <c r="B164">
        <f>A164&amp;"|"&amp;F164</f>
        <v/>
      </c>
      <c r="C164" t="n">
        <v>2</v>
      </c>
      <c r="D164" t="inlineStr">
        <is>
          <t>Feb</t>
        </is>
      </c>
      <c r="E164" t="n">
        <v>2028</v>
      </c>
      <c r="F164" t="inlineStr">
        <is>
          <t>W2</t>
        </is>
      </c>
      <c r="G164" t="inlineStr">
        <is>
          <t>W6</t>
        </is>
      </c>
      <c r="H164" s="3">
        <f>I163+1</f>
        <v/>
      </c>
      <c r="I164" s="3">
        <f>H164+6</f>
        <v/>
      </c>
      <c r="J164" s="1">
        <f>IF(NOT(MONTH(H164)=MONTH(I164)),I164-DATE(E164,C164,1)+1,
IF(MONTH(I164)=C164-1, 0,7))</f>
        <v/>
      </c>
      <c r="K164" s="1">
        <f>7-J164</f>
        <v/>
      </c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>
        <v>56</v>
      </c>
      <c r="W164" s="26" t="n">
        <v>56</v>
      </c>
    </row>
    <row r="165">
      <c r="A165">
        <f>D165&amp;"-"&amp;RIGHT(E165,2)</f>
        <v/>
      </c>
      <c r="B165">
        <f>A165&amp;"|"&amp;F165</f>
        <v/>
      </c>
      <c r="C165" t="n">
        <v>2</v>
      </c>
      <c r="D165" t="inlineStr">
        <is>
          <t>Feb</t>
        </is>
      </c>
      <c r="E165" t="n">
        <v>2028</v>
      </c>
      <c r="F165" t="inlineStr">
        <is>
          <t>W3</t>
        </is>
      </c>
      <c r="G165" t="inlineStr">
        <is>
          <t>W7</t>
        </is>
      </c>
      <c r="H165" s="3">
        <f>I164+1</f>
        <v/>
      </c>
      <c r="I165" s="3">
        <f>H165+6</f>
        <v/>
      </c>
      <c r="J165" s="1">
        <f>IF(NOT(MONTH(H165)=MONTH(I165)),I165-DATE(E165,C165,1)+1,
IF(MONTH(I165)=C165-1, 0,7))</f>
        <v/>
      </c>
      <c r="K165" s="1">
        <f>7-J165</f>
        <v/>
      </c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>
        <v>56</v>
      </c>
      <c r="W165" s="26" t="n">
        <v>56</v>
      </c>
    </row>
    <row r="166">
      <c r="A166">
        <f>D166&amp;"-"&amp;RIGHT(E166,2)</f>
        <v/>
      </c>
      <c r="B166">
        <f>A166&amp;"|"&amp;F166</f>
        <v/>
      </c>
      <c r="C166" t="n">
        <v>2</v>
      </c>
      <c r="D166" t="inlineStr">
        <is>
          <t>Feb</t>
        </is>
      </c>
      <c r="E166" t="n">
        <v>2028</v>
      </c>
      <c r="F166" t="inlineStr">
        <is>
          <t>W4</t>
        </is>
      </c>
      <c r="G166" t="inlineStr">
        <is>
          <t>W8</t>
        </is>
      </c>
      <c r="H166" s="3">
        <f>I165+1</f>
        <v/>
      </c>
      <c r="I166" s="3">
        <f>H166+6</f>
        <v/>
      </c>
      <c r="J166" s="1">
        <f>IF(NOT(MONTH(H166)=MONTH(I166)),I166-DATE(E166,C166,1)+1,
IF(MONTH(I166)=C166-1, 0,7))</f>
        <v/>
      </c>
      <c r="K166" s="1">
        <f>7-J166</f>
        <v/>
      </c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>
        <v>56</v>
      </c>
      <c r="W166" s="26" t="n">
        <v>56</v>
      </c>
    </row>
    <row r="167">
      <c r="A167">
        <f>D167&amp;"-"&amp;RIGHT(E167,2)</f>
        <v/>
      </c>
      <c r="B167">
        <f>A167&amp;"|"&amp;F167</f>
        <v/>
      </c>
      <c r="C167" t="n">
        <v>3</v>
      </c>
      <c r="D167" t="inlineStr">
        <is>
          <t>Mar</t>
        </is>
      </c>
      <c r="E167" t="n">
        <v>2028</v>
      </c>
      <c r="F167" t="inlineStr">
        <is>
          <t>W1</t>
        </is>
      </c>
      <c r="G167" t="inlineStr">
        <is>
          <t>W9</t>
        </is>
      </c>
      <c r="H167" s="3">
        <f>I166+1</f>
        <v/>
      </c>
      <c r="I167" s="3">
        <f>H167+6</f>
        <v/>
      </c>
      <c r="J167" s="1">
        <f>IF(NOT(MONTH(H167)=MONTH(I167)),I167-DATE(E167,C167,1)+1,
IF(MONTH(I167)=C167-1, 0,7))</f>
        <v/>
      </c>
      <c r="K167" s="1">
        <f>7-J167</f>
        <v/>
      </c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>
        <v>56</v>
      </c>
      <c r="W167" s="26" t="n">
        <v>56</v>
      </c>
    </row>
    <row r="168">
      <c r="A168">
        <f>D168&amp;"-"&amp;RIGHT(E168,2)</f>
        <v/>
      </c>
      <c r="B168">
        <f>A168&amp;"|"&amp;F168</f>
        <v/>
      </c>
      <c r="C168" t="n">
        <v>3</v>
      </c>
      <c r="D168" t="inlineStr">
        <is>
          <t>Mar</t>
        </is>
      </c>
      <c r="E168" t="n">
        <v>2028</v>
      </c>
      <c r="F168" t="inlineStr">
        <is>
          <t>W2</t>
        </is>
      </c>
      <c r="G168" t="inlineStr">
        <is>
          <t>W10</t>
        </is>
      </c>
      <c r="H168" s="3">
        <f>I167+1</f>
        <v/>
      </c>
      <c r="I168" s="3">
        <f>H168+6</f>
        <v/>
      </c>
      <c r="J168" s="1">
        <f>IF(NOT(MONTH(H168)=MONTH(I168)),I168-DATE(E168,C168,1)+1,
IF(MONTH(I168)=C168-1, 0,7))</f>
        <v/>
      </c>
      <c r="K168" s="1">
        <f>7-J168</f>
        <v/>
      </c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>
        <v>56</v>
      </c>
      <c r="W168" s="26" t="n">
        <v>56</v>
      </c>
    </row>
    <row r="169">
      <c r="A169">
        <f>D169&amp;"-"&amp;RIGHT(E169,2)</f>
        <v/>
      </c>
      <c r="B169">
        <f>A169&amp;"|"&amp;F169</f>
        <v/>
      </c>
      <c r="C169" t="n">
        <v>3</v>
      </c>
      <c r="D169" t="inlineStr">
        <is>
          <t>Mar</t>
        </is>
      </c>
      <c r="E169" t="n">
        <v>2028</v>
      </c>
      <c r="F169" t="inlineStr">
        <is>
          <t>W3</t>
        </is>
      </c>
      <c r="G169" t="inlineStr">
        <is>
          <t>W11</t>
        </is>
      </c>
      <c r="H169" s="3">
        <f>I168+1</f>
        <v/>
      </c>
      <c r="I169" s="3">
        <f>H169+6</f>
        <v/>
      </c>
      <c r="J169" s="1">
        <f>IF(NOT(MONTH(H169)=MONTH(I169)),I169-DATE(E169,C169,1)+1,
IF(MONTH(I169)=C169-1, 0,7))</f>
        <v/>
      </c>
      <c r="K169" s="1">
        <f>7-J169</f>
        <v/>
      </c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>
        <v>56</v>
      </c>
      <c r="W169" s="26" t="n">
        <v>56</v>
      </c>
    </row>
    <row r="170">
      <c r="A170">
        <f>D170&amp;"-"&amp;RIGHT(E170,2)</f>
        <v/>
      </c>
      <c r="B170">
        <f>A170&amp;"|"&amp;F170</f>
        <v/>
      </c>
      <c r="C170" t="n">
        <v>3</v>
      </c>
      <c r="D170" t="inlineStr">
        <is>
          <t>Mar</t>
        </is>
      </c>
      <c r="E170" t="n">
        <v>2028</v>
      </c>
      <c r="F170" t="inlineStr">
        <is>
          <t>W4</t>
        </is>
      </c>
      <c r="G170" t="inlineStr">
        <is>
          <t>W12</t>
        </is>
      </c>
      <c r="H170" s="3">
        <f>I169+1</f>
        <v/>
      </c>
      <c r="I170" s="3">
        <f>H170+6</f>
        <v/>
      </c>
      <c r="J170" s="1">
        <f>IF(NOT(MONTH(H170)=MONTH(I170)),I170-DATE(E170,C170,1)+1,
IF(MONTH(I170)=C170-1, 0,7))</f>
        <v/>
      </c>
      <c r="K170" s="1">
        <f>7-J170</f>
        <v/>
      </c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>
        <v>56</v>
      </c>
      <c r="W170" s="26" t="n">
        <v>56</v>
      </c>
    </row>
    <row r="171">
      <c r="A171">
        <f>D171&amp;"-"&amp;RIGHT(E171,2)</f>
        <v/>
      </c>
      <c r="B171">
        <f>A171&amp;"|"&amp;F171</f>
        <v/>
      </c>
      <c r="C171" t="n">
        <v>3</v>
      </c>
      <c r="D171" t="inlineStr">
        <is>
          <t>Mar</t>
        </is>
      </c>
      <c r="E171" t="n">
        <v>2028</v>
      </c>
      <c r="F171" t="inlineStr">
        <is>
          <t>W5</t>
        </is>
      </c>
      <c r="G171" t="inlineStr">
        <is>
          <t>W13</t>
        </is>
      </c>
      <c r="H171" s="3">
        <f>I170+1</f>
        <v/>
      </c>
      <c r="I171" s="3">
        <f>H171+6</f>
        <v/>
      </c>
      <c r="J171" s="1">
        <f>IF(NOT(MONTH(H171)=MONTH(I171)),I171-DATE(E171,C171,1)+1,
IF(MONTH(I171)=C171-1, 0,7))</f>
        <v/>
      </c>
      <c r="K171" s="1">
        <f>7-J171</f>
        <v/>
      </c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>
        <v>56</v>
      </c>
      <c r="W171" s="26" t="n">
        <v>56</v>
      </c>
    </row>
    <row r="172">
      <c r="A172">
        <f>D172&amp;"-"&amp;RIGHT(E172,2)</f>
        <v/>
      </c>
      <c r="B172">
        <f>A172&amp;"|"&amp;F172</f>
        <v/>
      </c>
      <c r="C172" t="n">
        <v>4</v>
      </c>
      <c r="D172" t="inlineStr">
        <is>
          <t>Apr</t>
        </is>
      </c>
      <c r="E172" t="n">
        <v>2028</v>
      </c>
      <c r="F172" t="inlineStr">
        <is>
          <t>W1</t>
        </is>
      </c>
      <c r="G172" t="inlineStr">
        <is>
          <t>W14</t>
        </is>
      </c>
      <c r="H172" s="3">
        <f>I171+1</f>
        <v/>
      </c>
      <c r="I172" s="3">
        <f>H172+6</f>
        <v/>
      </c>
      <c r="J172" s="1">
        <f>IF(NOT(MONTH(H172)=MONTH(I172)),I172-DATE(E172,C172,1)+1,
IF(MONTH(I172)=C172-1, 0,7))</f>
        <v/>
      </c>
      <c r="K172" s="1">
        <f>7-J172</f>
        <v/>
      </c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>
        <v>56</v>
      </c>
      <c r="W172" s="26" t="n">
        <v>56</v>
      </c>
    </row>
    <row r="173">
      <c r="A173">
        <f>D173&amp;"-"&amp;RIGHT(E173,2)</f>
        <v/>
      </c>
      <c r="B173">
        <f>A173&amp;"|"&amp;F173</f>
        <v/>
      </c>
      <c r="C173" t="n">
        <v>4</v>
      </c>
      <c r="D173" t="inlineStr">
        <is>
          <t>Apr</t>
        </is>
      </c>
      <c r="E173" t="n">
        <v>2028</v>
      </c>
      <c r="F173" t="inlineStr">
        <is>
          <t>W2</t>
        </is>
      </c>
      <c r="G173" t="inlineStr">
        <is>
          <t>W15</t>
        </is>
      </c>
      <c r="H173" s="3">
        <f>I172+1</f>
        <v/>
      </c>
      <c r="I173" s="3">
        <f>H173+6</f>
        <v/>
      </c>
      <c r="J173" s="1">
        <f>IF(NOT(MONTH(H173)=MONTH(I173)),I173-DATE(E173,C173,1)+1,
IF(MONTH(I173)=C173-1, 0,7))</f>
        <v/>
      </c>
      <c r="K173" s="1">
        <f>7-J173</f>
        <v/>
      </c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>
        <v>56</v>
      </c>
      <c r="W173" s="26" t="n">
        <v>56</v>
      </c>
    </row>
    <row r="174">
      <c r="A174">
        <f>D174&amp;"-"&amp;RIGHT(E174,2)</f>
        <v/>
      </c>
      <c r="B174">
        <f>A174&amp;"|"&amp;F174</f>
        <v/>
      </c>
      <c r="C174" t="n">
        <v>4</v>
      </c>
      <c r="D174" t="inlineStr">
        <is>
          <t>Apr</t>
        </is>
      </c>
      <c r="E174" t="n">
        <v>2028</v>
      </c>
      <c r="F174" t="inlineStr">
        <is>
          <t>W3</t>
        </is>
      </c>
      <c r="G174" t="inlineStr">
        <is>
          <t>W16</t>
        </is>
      </c>
      <c r="H174" s="3">
        <f>I173+1</f>
        <v/>
      </c>
      <c r="I174" s="3">
        <f>H174+6</f>
        <v/>
      </c>
      <c r="J174" s="1">
        <f>IF(NOT(MONTH(H174)=MONTH(I174)),I174-DATE(E174,C174,1)+1,
IF(MONTH(I174)=C174-1, 0,7))</f>
        <v/>
      </c>
      <c r="K174" s="1">
        <f>7-J174</f>
        <v/>
      </c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>
        <v>56</v>
      </c>
      <c r="W174" s="26" t="n">
        <v>56</v>
      </c>
    </row>
    <row r="175">
      <c r="A175">
        <f>D175&amp;"-"&amp;RIGHT(E175,2)</f>
        <v/>
      </c>
      <c r="B175">
        <f>A175&amp;"|"&amp;F175</f>
        <v/>
      </c>
      <c r="C175" t="n">
        <v>4</v>
      </c>
      <c r="D175" t="inlineStr">
        <is>
          <t>Apr</t>
        </is>
      </c>
      <c r="E175" t="n">
        <v>2028</v>
      </c>
      <c r="F175" t="inlineStr">
        <is>
          <t>W4</t>
        </is>
      </c>
      <c r="G175" t="inlineStr">
        <is>
          <t>W17</t>
        </is>
      </c>
      <c r="H175" s="3">
        <f>I174+1</f>
        <v/>
      </c>
      <c r="I175" s="3">
        <f>H175+6</f>
        <v/>
      </c>
      <c r="J175" s="1">
        <f>IF(NOT(MONTH(H175)=MONTH(I175)),I175-DATE(E175,C175,1)+1,
IF(MONTH(I175)=C175-1, 0,7))</f>
        <v/>
      </c>
      <c r="K175" s="1">
        <f>7-J175</f>
        <v/>
      </c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>
        <v>56</v>
      </c>
      <c r="W175" s="26" t="n">
        <v>56</v>
      </c>
    </row>
    <row r="176">
      <c r="A176">
        <f>D176&amp;"-"&amp;RIGHT(E176,2)</f>
        <v/>
      </c>
      <c r="B176">
        <f>A176&amp;"|"&amp;F176</f>
        <v/>
      </c>
      <c r="C176" t="n">
        <v>5</v>
      </c>
      <c r="D176" t="inlineStr">
        <is>
          <t>May</t>
        </is>
      </c>
      <c r="E176" t="n">
        <v>2028</v>
      </c>
      <c r="F176" t="inlineStr">
        <is>
          <t>W1</t>
        </is>
      </c>
      <c r="G176" t="inlineStr">
        <is>
          <t>W18</t>
        </is>
      </c>
      <c r="H176" s="3">
        <f>I175+1</f>
        <v/>
      </c>
      <c r="I176" s="3">
        <f>H176+6</f>
        <v/>
      </c>
      <c r="J176" s="1">
        <f>IF(NOT(MONTH(H176)=MONTH(I176)),I176-DATE(E176,C176,1)+1,
IF(MONTH(I176)=C176-1, 0,7))</f>
        <v/>
      </c>
      <c r="K176" s="1">
        <f>7-J176</f>
        <v/>
      </c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>
        <v>56</v>
      </c>
      <c r="W176" s="26" t="n">
        <v>56</v>
      </c>
    </row>
    <row r="177">
      <c r="A177">
        <f>D177&amp;"-"&amp;RIGHT(E177,2)</f>
        <v/>
      </c>
      <c r="B177">
        <f>A177&amp;"|"&amp;F177</f>
        <v/>
      </c>
      <c r="C177" t="n">
        <v>5</v>
      </c>
      <c r="D177" t="inlineStr">
        <is>
          <t>May</t>
        </is>
      </c>
      <c r="E177" t="n">
        <v>2028</v>
      </c>
      <c r="F177" t="inlineStr">
        <is>
          <t>W2</t>
        </is>
      </c>
      <c r="G177" t="inlineStr">
        <is>
          <t>W19</t>
        </is>
      </c>
      <c r="H177" s="3">
        <f>I176+1</f>
        <v/>
      </c>
      <c r="I177" s="3">
        <f>H177+6</f>
        <v/>
      </c>
      <c r="J177" s="1">
        <f>IF(NOT(MONTH(H177)=MONTH(I177)),I177-DATE(E177,C177,1)+1,
IF(MONTH(I177)=C177-1, 0,7))</f>
        <v/>
      </c>
      <c r="K177" s="1">
        <f>7-J177</f>
        <v/>
      </c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>
        <v>56</v>
      </c>
      <c r="W177" s="26" t="n">
        <v>56</v>
      </c>
    </row>
    <row r="178">
      <c r="A178">
        <f>D178&amp;"-"&amp;RIGHT(E178,2)</f>
        <v/>
      </c>
      <c r="B178">
        <f>A178&amp;"|"&amp;F178</f>
        <v/>
      </c>
      <c r="C178" t="n">
        <v>5</v>
      </c>
      <c r="D178" t="inlineStr">
        <is>
          <t>May</t>
        </is>
      </c>
      <c r="E178" t="n">
        <v>2028</v>
      </c>
      <c r="F178" t="inlineStr">
        <is>
          <t>W3</t>
        </is>
      </c>
      <c r="G178" t="inlineStr">
        <is>
          <t>W20</t>
        </is>
      </c>
      <c r="H178" s="3">
        <f>I177+1</f>
        <v/>
      </c>
      <c r="I178" s="3">
        <f>H178+6</f>
        <v/>
      </c>
      <c r="J178" s="1">
        <f>IF(NOT(MONTH(H178)=MONTH(I178)),I178-DATE(E178,C178,1)+1,
IF(MONTH(I178)=C178-1, 0,7))</f>
        <v/>
      </c>
      <c r="K178" s="1">
        <f>7-J178</f>
        <v/>
      </c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>
        <v>56</v>
      </c>
      <c r="W178" s="26" t="n">
        <v>56</v>
      </c>
    </row>
    <row r="179">
      <c r="A179">
        <f>D179&amp;"-"&amp;RIGHT(E179,2)</f>
        <v/>
      </c>
      <c r="B179">
        <f>A179&amp;"|"&amp;F179</f>
        <v/>
      </c>
      <c r="C179" t="n">
        <v>5</v>
      </c>
      <c r="D179" t="inlineStr">
        <is>
          <t>May</t>
        </is>
      </c>
      <c r="E179" t="n">
        <v>2028</v>
      </c>
      <c r="F179" t="inlineStr">
        <is>
          <t>W4</t>
        </is>
      </c>
      <c r="G179" t="inlineStr">
        <is>
          <t>W21</t>
        </is>
      </c>
      <c r="H179" s="3">
        <f>I178+1</f>
        <v/>
      </c>
      <c r="I179" s="3">
        <f>H179+6</f>
        <v/>
      </c>
      <c r="J179" s="1">
        <f>IF(NOT(MONTH(H179)=MONTH(I179)),I179-DATE(E179,C179,1)+1,
IF(MONTH(I179)=C179-1, 0,7))</f>
        <v/>
      </c>
      <c r="K179" s="1">
        <f>7-J179</f>
        <v/>
      </c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>
        <v>56</v>
      </c>
      <c r="W179" s="26" t="n">
        <v>56</v>
      </c>
    </row>
    <row r="180">
      <c r="A180">
        <f>D180&amp;"-"&amp;RIGHT(E180,2)</f>
        <v/>
      </c>
      <c r="B180">
        <f>A180&amp;"|"&amp;F180</f>
        <v/>
      </c>
      <c r="C180" t="n">
        <v>6</v>
      </c>
      <c r="D180" t="inlineStr">
        <is>
          <t>Jun</t>
        </is>
      </c>
      <c r="E180" t="n">
        <v>2028</v>
      </c>
      <c r="F180" t="inlineStr">
        <is>
          <t>W1</t>
        </is>
      </c>
      <c r="G180" t="inlineStr">
        <is>
          <t>W22</t>
        </is>
      </c>
      <c r="H180" s="3">
        <f>I179+1</f>
        <v/>
      </c>
      <c r="I180" s="3">
        <f>H180+6</f>
        <v/>
      </c>
      <c r="J180" s="1">
        <f>IF(NOT(MONTH(H180)=MONTH(I180)),I180-DATE(E180,C180,1)+1,
IF(MONTH(I180)=C180-1, 0,7))</f>
        <v/>
      </c>
      <c r="K180" s="1">
        <f>7-J180</f>
        <v/>
      </c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>
        <v>56</v>
      </c>
      <c r="W180" s="26" t="n">
        <v>56</v>
      </c>
    </row>
    <row r="181">
      <c r="A181">
        <f>D181&amp;"-"&amp;RIGHT(E181,2)</f>
        <v/>
      </c>
      <c r="B181">
        <f>A181&amp;"|"&amp;F181</f>
        <v/>
      </c>
      <c r="C181" t="n">
        <v>6</v>
      </c>
      <c r="D181" t="inlineStr">
        <is>
          <t>Jun</t>
        </is>
      </c>
      <c r="E181" t="n">
        <v>2028</v>
      </c>
      <c r="F181" t="inlineStr">
        <is>
          <t>W2</t>
        </is>
      </c>
      <c r="G181" t="inlineStr">
        <is>
          <t>W23</t>
        </is>
      </c>
      <c r="H181" s="3">
        <f>I180+1</f>
        <v/>
      </c>
      <c r="I181" s="3">
        <f>H181+6</f>
        <v/>
      </c>
      <c r="J181" s="1">
        <f>IF(NOT(MONTH(H181)=MONTH(I181)),I181-DATE(E181,C181,1)+1,
IF(MONTH(I181)=C181-1, 0,7))</f>
        <v/>
      </c>
      <c r="K181" s="1">
        <f>7-J181</f>
        <v/>
      </c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>
        <v>56</v>
      </c>
      <c r="W181" s="26" t="n">
        <v>56</v>
      </c>
    </row>
    <row r="182">
      <c r="A182">
        <f>D182&amp;"-"&amp;RIGHT(E182,2)</f>
        <v/>
      </c>
      <c r="B182">
        <f>A182&amp;"|"&amp;F182</f>
        <v/>
      </c>
      <c r="C182" t="n">
        <v>6</v>
      </c>
      <c r="D182" t="inlineStr">
        <is>
          <t>Jun</t>
        </is>
      </c>
      <c r="E182" t="n">
        <v>2028</v>
      </c>
      <c r="F182" t="inlineStr">
        <is>
          <t>W3</t>
        </is>
      </c>
      <c r="G182" t="inlineStr">
        <is>
          <t>W24</t>
        </is>
      </c>
      <c r="H182" s="3">
        <f>I181+1</f>
        <v/>
      </c>
      <c r="I182" s="3">
        <f>H182+6</f>
        <v/>
      </c>
      <c r="J182" s="1">
        <f>IF(NOT(MONTH(H182)=MONTH(I182)),I182-DATE(E182,C182,1)+1,
IF(MONTH(I182)=C182-1, 0,7))</f>
        <v/>
      </c>
      <c r="K182" s="1">
        <f>7-J182</f>
        <v/>
      </c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>
        <v>56</v>
      </c>
      <c r="W182" s="26" t="n">
        <v>56</v>
      </c>
    </row>
    <row r="183">
      <c r="A183">
        <f>D183&amp;"-"&amp;RIGHT(E183,2)</f>
        <v/>
      </c>
      <c r="B183">
        <f>A183&amp;"|"&amp;F183</f>
        <v/>
      </c>
      <c r="C183" t="n">
        <v>6</v>
      </c>
      <c r="D183" t="inlineStr">
        <is>
          <t>Jun</t>
        </is>
      </c>
      <c r="E183" t="n">
        <v>2028</v>
      </c>
      <c r="F183" t="inlineStr">
        <is>
          <t>W4</t>
        </is>
      </c>
      <c r="G183" t="inlineStr">
        <is>
          <t>W25</t>
        </is>
      </c>
      <c r="H183" s="3">
        <f>I182+1</f>
        <v/>
      </c>
      <c r="I183" s="3">
        <f>H183+6</f>
        <v/>
      </c>
      <c r="J183" s="1">
        <f>IF(NOT(MONTH(H183)=MONTH(I183)),I183-DATE(E183,C183,1)+1,
IF(MONTH(I183)=C183-1, 0,7))</f>
        <v/>
      </c>
      <c r="K183" s="1">
        <f>7-J183</f>
        <v/>
      </c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>
        <v>56</v>
      </c>
      <c r="W183" s="26" t="n">
        <v>56</v>
      </c>
    </row>
    <row r="184">
      <c r="A184">
        <f>D184&amp;"-"&amp;RIGHT(E184,2)</f>
        <v/>
      </c>
      <c r="B184">
        <f>A184&amp;"|"&amp;F184</f>
        <v/>
      </c>
      <c r="C184" t="n">
        <v>6</v>
      </c>
      <c r="D184" t="inlineStr">
        <is>
          <t>Jun</t>
        </is>
      </c>
      <c r="E184" t="n">
        <v>2028</v>
      </c>
      <c r="F184" t="inlineStr">
        <is>
          <t>W5</t>
        </is>
      </c>
      <c r="G184" t="inlineStr">
        <is>
          <t>W26</t>
        </is>
      </c>
      <c r="H184" s="3">
        <f>I183+1</f>
        <v/>
      </c>
      <c r="I184" s="3">
        <f>H184+6</f>
        <v/>
      </c>
      <c r="J184" s="1">
        <f>IF(NOT(MONTH(H184)=MONTH(I184)),I184-DATE(E184,C184,1)+1,
IF(MONTH(I184)=C184-1, 0,7))</f>
        <v/>
      </c>
      <c r="K184" s="1">
        <f>7-J184</f>
        <v/>
      </c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>
        <v>56</v>
      </c>
      <c r="W184" s="26" t="n">
        <v>56</v>
      </c>
    </row>
    <row r="185">
      <c r="A185">
        <f>D185&amp;"-"&amp;RIGHT(E185,2)</f>
        <v/>
      </c>
      <c r="B185">
        <f>A185&amp;"|"&amp;F185</f>
        <v/>
      </c>
      <c r="C185" t="n">
        <v>7</v>
      </c>
      <c r="D185" t="inlineStr">
        <is>
          <t>Jul</t>
        </is>
      </c>
      <c r="E185" t="n">
        <v>2028</v>
      </c>
      <c r="F185" t="inlineStr">
        <is>
          <t>W1</t>
        </is>
      </c>
      <c r="G185" t="inlineStr">
        <is>
          <t>W27</t>
        </is>
      </c>
      <c r="H185" s="3">
        <f>I184+1</f>
        <v/>
      </c>
      <c r="I185" s="3">
        <f>H185+6</f>
        <v/>
      </c>
      <c r="J185" s="1">
        <f>IF(NOT(MONTH(H185)=MONTH(I185)),I185-DATE(E185,C185,1)+1,
IF(MONTH(I185)=C185-1, 0,7))</f>
        <v/>
      </c>
      <c r="K185" s="1">
        <f>7-J185</f>
        <v/>
      </c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>
        <v>56</v>
      </c>
      <c r="W185" s="26" t="n">
        <v>56</v>
      </c>
    </row>
    <row r="186">
      <c r="A186">
        <f>D186&amp;"-"&amp;RIGHT(E186,2)</f>
        <v/>
      </c>
      <c r="B186">
        <f>A186&amp;"|"&amp;F186</f>
        <v/>
      </c>
      <c r="C186" t="n">
        <v>7</v>
      </c>
      <c r="D186" t="inlineStr">
        <is>
          <t>Jul</t>
        </is>
      </c>
      <c r="E186" t="n">
        <v>2028</v>
      </c>
      <c r="F186" t="inlineStr">
        <is>
          <t>W2</t>
        </is>
      </c>
      <c r="G186" t="inlineStr">
        <is>
          <t>W28</t>
        </is>
      </c>
      <c r="H186" s="3">
        <f>I185+1</f>
        <v/>
      </c>
      <c r="I186" s="3">
        <f>H186+6</f>
        <v/>
      </c>
      <c r="J186" s="1">
        <f>IF(NOT(MONTH(H186)=MONTH(I186)),I186-DATE(E186,C186,1)+1,
IF(MONTH(I186)=C186-1, 0,7))</f>
        <v/>
      </c>
      <c r="K186" s="1">
        <f>7-J186</f>
        <v/>
      </c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>
        <v>56</v>
      </c>
      <c r="W186" s="26" t="n">
        <v>56</v>
      </c>
    </row>
    <row r="187">
      <c r="A187">
        <f>D187&amp;"-"&amp;RIGHT(E187,2)</f>
        <v/>
      </c>
      <c r="B187">
        <f>A187&amp;"|"&amp;F187</f>
        <v/>
      </c>
      <c r="C187" t="n">
        <v>7</v>
      </c>
      <c r="D187" t="inlineStr">
        <is>
          <t>Jul</t>
        </is>
      </c>
      <c r="E187" t="n">
        <v>2028</v>
      </c>
      <c r="F187" t="inlineStr">
        <is>
          <t>W3</t>
        </is>
      </c>
      <c r="G187" t="inlineStr">
        <is>
          <t>W29</t>
        </is>
      </c>
      <c r="H187" s="3">
        <f>I186+1</f>
        <v/>
      </c>
      <c r="I187" s="3">
        <f>H187+6</f>
        <v/>
      </c>
      <c r="J187" s="1">
        <f>IF(NOT(MONTH(H187)=MONTH(I187)),I187-DATE(E187,C187,1)+1,
IF(MONTH(I187)=C187-1, 0,7))</f>
        <v/>
      </c>
      <c r="K187" s="1">
        <f>7-J187</f>
        <v/>
      </c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>
        <v>56</v>
      </c>
      <c r="W187" s="26" t="n">
        <v>56</v>
      </c>
    </row>
    <row r="188">
      <c r="A188">
        <f>D188&amp;"-"&amp;RIGHT(E188,2)</f>
        <v/>
      </c>
      <c r="B188">
        <f>A188&amp;"|"&amp;F188</f>
        <v/>
      </c>
      <c r="C188" t="n">
        <v>7</v>
      </c>
      <c r="D188" t="inlineStr">
        <is>
          <t>Jul</t>
        </is>
      </c>
      <c r="E188" t="n">
        <v>2028</v>
      </c>
      <c r="F188" t="inlineStr">
        <is>
          <t>W4</t>
        </is>
      </c>
      <c r="G188" t="inlineStr">
        <is>
          <t>W30</t>
        </is>
      </c>
      <c r="H188" s="3">
        <f>I187+1</f>
        <v/>
      </c>
      <c r="I188" s="3">
        <f>H188+6</f>
        <v/>
      </c>
      <c r="J188" s="1">
        <f>IF(NOT(MONTH(H188)=MONTH(I188)),I188-DATE(E188,C188,1)+1,
IF(MONTH(I188)=C188-1, 0,7))</f>
        <v/>
      </c>
      <c r="K188" s="1">
        <f>7-J188</f>
        <v/>
      </c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>
        <v>56</v>
      </c>
      <c r="W188" s="26" t="n">
        <v>56</v>
      </c>
    </row>
    <row r="189">
      <c r="A189">
        <f>D189&amp;"-"&amp;RIGHT(E189,2)</f>
        <v/>
      </c>
      <c r="B189">
        <f>A189&amp;"|"&amp;F189</f>
        <v/>
      </c>
      <c r="C189" t="n">
        <v>8</v>
      </c>
      <c r="D189" t="inlineStr">
        <is>
          <t>Aug</t>
        </is>
      </c>
      <c r="E189" t="n">
        <v>2028</v>
      </c>
      <c r="F189" t="inlineStr">
        <is>
          <t>W1</t>
        </is>
      </c>
      <c r="G189" t="inlineStr">
        <is>
          <t>W31</t>
        </is>
      </c>
      <c r="H189" s="3">
        <f>I188+1</f>
        <v/>
      </c>
      <c r="I189" s="3">
        <f>H189+6</f>
        <v/>
      </c>
      <c r="J189" s="1">
        <f>IF(NOT(MONTH(H189)=MONTH(I189)),I189-DATE(E189,C189,1)+1,
IF(MONTH(I189)=C189-1, 0,7))</f>
        <v/>
      </c>
      <c r="K189" s="1">
        <f>7-J189</f>
        <v/>
      </c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>
        <v>56</v>
      </c>
      <c r="W189" s="26" t="n">
        <v>56</v>
      </c>
    </row>
    <row r="190">
      <c r="A190">
        <f>D190&amp;"-"&amp;RIGHT(E190,2)</f>
        <v/>
      </c>
      <c r="B190">
        <f>A190&amp;"|"&amp;F190</f>
        <v/>
      </c>
      <c r="C190" t="n">
        <v>8</v>
      </c>
      <c r="D190" t="inlineStr">
        <is>
          <t>Aug</t>
        </is>
      </c>
      <c r="E190" t="n">
        <v>2028</v>
      </c>
      <c r="F190" t="inlineStr">
        <is>
          <t>W2</t>
        </is>
      </c>
      <c r="G190" t="inlineStr">
        <is>
          <t>W32</t>
        </is>
      </c>
      <c r="H190" s="3">
        <f>I189+1</f>
        <v/>
      </c>
      <c r="I190" s="3">
        <f>H190+6</f>
        <v/>
      </c>
      <c r="J190" s="1">
        <f>IF(NOT(MONTH(H190)=MONTH(I190)),I190-DATE(E190,C190,1)+1,
IF(MONTH(I190)=C190-1, 0,7))</f>
        <v/>
      </c>
      <c r="K190" s="1">
        <f>7-J190</f>
        <v/>
      </c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>
        <v>56</v>
      </c>
      <c r="W190" s="26" t="n">
        <v>56</v>
      </c>
    </row>
    <row r="191">
      <c r="A191">
        <f>D191&amp;"-"&amp;RIGHT(E191,2)</f>
        <v/>
      </c>
      <c r="B191">
        <f>A191&amp;"|"&amp;F191</f>
        <v/>
      </c>
      <c r="C191" t="n">
        <v>8</v>
      </c>
      <c r="D191" t="inlineStr">
        <is>
          <t>Aug</t>
        </is>
      </c>
      <c r="E191" t="n">
        <v>2028</v>
      </c>
      <c r="F191" t="inlineStr">
        <is>
          <t>W3</t>
        </is>
      </c>
      <c r="G191" t="inlineStr">
        <is>
          <t>W33</t>
        </is>
      </c>
      <c r="H191" s="3">
        <f>I190+1</f>
        <v/>
      </c>
      <c r="I191" s="3">
        <f>H191+6</f>
        <v/>
      </c>
      <c r="J191" s="1">
        <f>IF(NOT(MONTH(H191)=MONTH(I191)),I191-DATE(E191,C191,1)+1,
IF(MONTH(I191)=C191-1, 0,7))</f>
        <v/>
      </c>
      <c r="K191" s="1">
        <f>7-J191</f>
        <v/>
      </c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>
        <v>56</v>
      </c>
      <c r="W191" s="26" t="n">
        <v>56</v>
      </c>
    </row>
    <row r="192">
      <c r="A192">
        <f>D192&amp;"-"&amp;RIGHT(E192,2)</f>
        <v/>
      </c>
      <c r="B192">
        <f>A192&amp;"|"&amp;F192</f>
        <v/>
      </c>
      <c r="C192" t="n">
        <v>8</v>
      </c>
      <c r="D192" t="inlineStr">
        <is>
          <t>Aug</t>
        </is>
      </c>
      <c r="E192" t="n">
        <v>2028</v>
      </c>
      <c r="F192" t="inlineStr">
        <is>
          <t>W4</t>
        </is>
      </c>
      <c r="G192" t="inlineStr">
        <is>
          <t>W34</t>
        </is>
      </c>
      <c r="H192" s="3">
        <f>I191+1</f>
        <v/>
      </c>
      <c r="I192" s="3">
        <f>H192+6</f>
        <v/>
      </c>
      <c r="J192" s="1">
        <f>IF(NOT(MONTH(H192)=MONTH(I192)),I192-DATE(E192,C192,1)+1,
IF(MONTH(I192)=C192-1, 0,7))</f>
        <v/>
      </c>
      <c r="K192" s="1">
        <f>7-J192</f>
        <v/>
      </c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>
        <v>56</v>
      </c>
      <c r="W192" s="26" t="n">
        <v>56</v>
      </c>
    </row>
    <row r="193">
      <c r="A193">
        <f>D193&amp;"-"&amp;RIGHT(E193,2)</f>
        <v/>
      </c>
      <c r="B193">
        <f>A193&amp;"|"&amp;F193</f>
        <v/>
      </c>
      <c r="C193" t="n">
        <v>9</v>
      </c>
      <c r="D193" t="inlineStr">
        <is>
          <t>Sep</t>
        </is>
      </c>
      <c r="E193" t="n">
        <v>2028</v>
      </c>
      <c r="F193" t="inlineStr">
        <is>
          <t>W1</t>
        </is>
      </c>
      <c r="G193" t="inlineStr">
        <is>
          <t>W35</t>
        </is>
      </c>
      <c r="H193" s="3">
        <f>I192+1</f>
        <v/>
      </c>
      <c r="I193" s="3">
        <f>H193+6</f>
        <v/>
      </c>
      <c r="J193" s="1">
        <f>IF(NOT(MONTH(H193)=MONTH(I193)),I193-DATE(E193,C193,1)+1,
IF(MONTH(I193)=C193-1, 0,7))</f>
        <v/>
      </c>
      <c r="K193" s="1">
        <f>7-J193</f>
        <v/>
      </c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>
        <v>56</v>
      </c>
      <c r="W193" s="26" t="n">
        <v>56</v>
      </c>
    </row>
    <row r="194">
      <c r="A194">
        <f>D194&amp;"-"&amp;RIGHT(E194,2)</f>
        <v/>
      </c>
      <c r="B194">
        <f>A194&amp;"|"&amp;F194</f>
        <v/>
      </c>
      <c r="C194" t="n">
        <v>9</v>
      </c>
      <c r="D194" t="inlineStr">
        <is>
          <t>Sep</t>
        </is>
      </c>
      <c r="E194" t="n">
        <v>2028</v>
      </c>
      <c r="F194" t="inlineStr">
        <is>
          <t>W2</t>
        </is>
      </c>
      <c r="G194" t="inlineStr">
        <is>
          <t>W36</t>
        </is>
      </c>
      <c r="H194" s="3">
        <f>I193+1</f>
        <v/>
      </c>
      <c r="I194" s="3">
        <f>H194+6</f>
        <v/>
      </c>
      <c r="J194" s="1">
        <f>IF(NOT(MONTH(H194)=MONTH(I194)),I194-DATE(E194,C194,1)+1,
IF(MONTH(I194)=C194-1, 0,7))</f>
        <v/>
      </c>
      <c r="K194" s="1">
        <f>7-J194</f>
        <v/>
      </c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>
        <v>56</v>
      </c>
      <c r="W194" s="26" t="n">
        <v>56</v>
      </c>
    </row>
    <row r="195">
      <c r="A195">
        <f>D195&amp;"-"&amp;RIGHT(E195,2)</f>
        <v/>
      </c>
      <c r="B195">
        <f>A195&amp;"|"&amp;F195</f>
        <v/>
      </c>
      <c r="C195" t="n">
        <v>9</v>
      </c>
      <c r="D195" t="inlineStr">
        <is>
          <t>Sep</t>
        </is>
      </c>
      <c r="E195" t="n">
        <v>2028</v>
      </c>
      <c r="F195" t="inlineStr">
        <is>
          <t>W3</t>
        </is>
      </c>
      <c r="G195" t="inlineStr">
        <is>
          <t>W37</t>
        </is>
      </c>
      <c r="H195" s="3">
        <f>I194+1</f>
        <v/>
      </c>
      <c r="I195" s="3">
        <f>H195+6</f>
        <v/>
      </c>
      <c r="J195" s="1">
        <f>IF(NOT(MONTH(H195)=MONTH(I195)),I195-DATE(E195,C195,1)+1,
IF(MONTH(I195)=C195-1, 0,7))</f>
        <v/>
      </c>
      <c r="K195" s="1">
        <f>7-J195</f>
        <v/>
      </c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>
        <v>56</v>
      </c>
      <c r="W195" s="26" t="n">
        <v>56</v>
      </c>
    </row>
    <row r="196">
      <c r="A196">
        <f>D196&amp;"-"&amp;RIGHT(E196,2)</f>
        <v/>
      </c>
      <c r="B196">
        <f>A196&amp;"|"&amp;F196</f>
        <v/>
      </c>
      <c r="C196" t="n">
        <v>9</v>
      </c>
      <c r="D196" t="inlineStr">
        <is>
          <t>Sep</t>
        </is>
      </c>
      <c r="E196" t="n">
        <v>2028</v>
      </c>
      <c r="F196" t="inlineStr">
        <is>
          <t>W4</t>
        </is>
      </c>
      <c r="G196" t="inlineStr">
        <is>
          <t>W38</t>
        </is>
      </c>
      <c r="H196" s="3">
        <f>I195+1</f>
        <v/>
      </c>
      <c r="I196" s="3">
        <f>H196+6</f>
        <v/>
      </c>
      <c r="J196" s="1">
        <f>IF(NOT(MONTH(H196)=MONTH(I196)),I196-DATE(E196,C196,1)+1,
IF(MONTH(I196)=C196-1, 0,7))</f>
        <v/>
      </c>
      <c r="K196" s="1">
        <f>7-J196</f>
        <v/>
      </c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>
        <v>56</v>
      </c>
      <c r="W196" s="26" t="n">
        <v>56</v>
      </c>
    </row>
    <row r="197">
      <c r="A197">
        <f>D197&amp;"-"&amp;RIGHT(E197,2)</f>
        <v/>
      </c>
      <c r="B197">
        <f>A197&amp;"|"&amp;F197</f>
        <v/>
      </c>
      <c r="C197" t="n">
        <v>9</v>
      </c>
      <c r="D197" t="inlineStr">
        <is>
          <t>Sep</t>
        </is>
      </c>
      <c r="E197" t="n">
        <v>2028</v>
      </c>
      <c r="F197" t="inlineStr">
        <is>
          <t>W5</t>
        </is>
      </c>
      <c r="G197" t="inlineStr">
        <is>
          <t>W39</t>
        </is>
      </c>
      <c r="H197" s="3">
        <f>I196+1</f>
        <v/>
      </c>
      <c r="I197" s="3">
        <f>H197+6</f>
        <v/>
      </c>
      <c r="J197" s="1">
        <f>IF(NOT(MONTH(H197)=MONTH(I197)),I197-DATE(E197,C197,1)+1,
IF(MONTH(I197)=C197-1, 0,7))</f>
        <v/>
      </c>
      <c r="K197" s="1">
        <f>7-J197</f>
        <v/>
      </c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>
        <v>56</v>
      </c>
      <c r="W197" s="26" t="n">
        <v>56</v>
      </c>
    </row>
    <row r="198">
      <c r="A198">
        <f>D198&amp;"-"&amp;RIGHT(E198,2)</f>
        <v/>
      </c>
      <c r="B198">
        <f>A198&amp;"|"&amp;F198</f>
        <v/>
      </c>
      <c r="C198" t="n">
        <v>10</v>
      </c>
      <c r="D198" t="inlineStr">
        <is>
          <t>Oct</t>
        </is>
      </c>
      <c r="E198" t="n">
        <v>2028</v>
      </c>
      <c r="F198" t="inlineStr">
        <is>
          <t>W1</t>
        </is>
      </c>
      <c r="G198" t="inlineStr">
        <is>
          <t>W40</t>
        </is>
      </c>
      <c r="H198" s="3">
        <f>I197+1</f>
        <v/>
      </c>
      <c r="I198" s="3">
        <f>H198+6</f>
        <v/>
      </c>
      <c r="J198" s="1">
        <f>IF(NOT(MONTH(H198)=MONTH(I198)),I198-DATE(E198,C198,1)+1,
IF(MONTH(I198)=C198-1, 0,7))</f>
        <v/>
      </c>
      <c r="K198" s="1">
        <f>7-J198</f>
        <v/>
      </c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>
        <v>56</v>
      </c>
      <c r="W198" s="26" t="n">
        <v>56</v>
      </c>
    </row>
    <row r="199">
      <c r="A199">
        <f>D199&amp;"-"&amp;RIGHT(E199,2)</f>
        <v/>
      </c>
      <c r="B199">
        <f>A199&amp;"|"&amp;F199</f>
        <v/>
      </c>
      <c r="C199" t="n">
        <v>10</v>
      </c>
      <c r="D199" t="inlineStr">
        <is>
          <t>Oct</t>
        </is>
      </c>
      <c r="E199" t="n">
        <v>2028</v>
      </c>
      <c r="F199" t="inlineStr">
        <is>
          <t>W2</t>
        </is>
      </c>
      <c r="G199" t="inlineStr">
        <is>
          <t>W41</t>
        </is>
      </c>
      <c r="H199" s="3">
        <f>I198+1</f>
        <v/>
      </c>
      <c r="I199" s="3">
        <f>H199+6</f>
        <v/>
      </c>
      <c r="J199" s="1">
        <f>IF(NOT(MONTH(H199)=MONTH(I199)),I199-DATE(E199,C199,1)+1,
IF(MONTH(I199)=C199-1, 0,7))</f>
        <v/>
      </c>
      <c r="K199" s="1">
        <f>7-J199</f>
        <v/>
      </c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>
        <v>56</v>
      </c>
      <c r="W199" s="26" t="n">
        <v>56</v>
      </c>
    </row>
    <row r="200">
      <c r="A200">
        <f>D200&amp;"-"&amp;RIGHT(E200,2)</f>
        <v/>
      </c>
      <c r="B200">
        <f>A200&amp;"|"&amp;F200</f>
        <v/>
      </c>
      <c r="C200" t="n">
        <v>10</v>
      </c>
      <c r="D200" t="inlineStr">
        <is>
          <t>Oct</t>
        </is>
      </c>
      <c r="E200" t="n">
        <v>2028</v>
      </c>
      <c r="F200" t="inlineStr">
        <is>
          <t>W3</t>
        </is>
      </c>
      <c r="G200" t="inlineStr">
        <is>
          <t>W42</t>
        </is>
      </c>
      <c r="H200" s="3">
        <f>I199+1</f>
        <v/>
      </c>
      <c r="I200" s="3">
        <f>H200+6</f>
        <v/>
      </c>
      <c r="J200" s="1">
        <f>IF(NOT(MONTH(H200)=MONTH(I200)),I200-DATE(E200,C200,1)+1,
IF(MONTH(I200)=C200-1, 0,7))</f>
        <v/>
      </c>
      <c r="K200" s="1">
        <f>7-J200</f>
        <v/>
      </c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>
        <v>56</v>
      </c>
      <c r="W200" s="26" t="n">
        <v>56</v>
      </c>
    </row>
    <row r="201">
      <c r="A201">
        <f>D201&amp;"-"&amp;RIGHT(E201,2)</f>
        <v/>
      </c>
      <c r="B201">
        <f>A201&amp;"|"&amp;F201</f>
        <v/>
      </c>
      <c r="C201" t="n">
        <v>10</v>
      </c>
      <c r="D201" t="inlineStr">
        <is>
          <t>Oct</t>
        </is>
      </c>
      <c r="E201" t="n">
        <v>2028</v>
      </c>
      <c r="F201" t="inlineStr">
        <is>
          <t>W4</t>
        </is>
      </c>
      <c r="G201" t="inlineStr">
        <is>
          <t>W43</t>
        </is>
      </c>
      <c r="H201" s="3">
        <f>I200+1</f>
        <v/>
      </c>
      <c r="I201" s="3">
        <f>H201+6</f>
        <v/>
      </c>
      <c r="J201" s="1">
        <f>IF(NOT(MONTH(H201)=MONTH(I201)),I201-DATE(E201,C201,1)+1,
IF(MONTH(I201)=C201-1, 0,7))</f>
        <v/>
      </c>
      <c r="K201" s="1">
        <f>7-J201</f>
        <v/>
      </c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>
        <v>56</v>
      </c>
      <c r="W201" s="26" t="n">
        <v>56</v>
      </c>
    </row>
    <row r="202">
      <c r="A202">
        <f>D202&amp;"-"&amp;RIGHT(E202,2)</f>
        <v/>
      </c>
      <c r="B202">
        <f>A202&amp;"|"&amp;F202</f>
        <v/>
      </c>
      <c r="C202" t="n">
        <v>11</v>
      </c>
      <c r="D202" t="inlineStr">
        <is>
          <t>Nov</t>
        </is>
      </c>
      <c r="E202" t="n">
        <v>2028</v>
      </c>
      <c r="F202" t="inlineStr">
        <is>
          <t>W1</t>
        </is>
      </c>
      <c r="G202" t="inlineStr">
        <is>
          <t>W44</t>
        </is>
      </c>
      <c r="H202" s="3">
        <f>I201+1</f>
        <v/>
      </c>
      <c r="I202" s="3">
        <f>H202+6</f>
        <v/>
      </c>
      <c r="J202" s="1">
        <f>IF(NOT(MONTH(H202)=MONTH(I202)),I202-DATE(E202,C202,1)+1,
IF(MONTH(I202)=C202-1, 0,7))</f>
        <v/>
      </c>
      <c r="K202" s="1">
        <f>7-J202</f>
        <v/>
      </c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>
        <v>56</v>
      </c>
      <c r="W202" s="26" t="n">
        <v>56</v>
      </c>
    </row>
    <row r="203">
      <c r="A203">
        <f>D203&amp;"-"&amp;RIGHT(E203,2)</f>
        <v/>
      </c>
      <c r="B203">
        <f>A203&amp;"|"&amp;F203</f>
        <v/>
      </c>
      <c r="C203" t="n">
        <v>11</v>
      </c>
      <c r="D203" t="inlineStr">
        <is>
          <t>Nov</t>
        </is>
      </c>
      <c r="E203" t="n">
        <v>2028</v>
      </c>
      <c r="F203" t="inlineStr">
        <is>
          <t>W2</t>
        </is>
      </c>
      <c r="G203" t="inlineStr">
        <is>
          <t>W45</t>
        </is>
      </c>
      <c r="H203" s="3">
        <f>I202+1</f>
        <v/>
      </c>
      <c r="I203" s="3">
        <f>H203+6</f>
        <v/>
      </c>
      <c r="J203" s="1">
        <f>IF(NOT(MONTH(H203)=MONTH(I203)),I203-DATE(E203,C203,1)+1,
IF(MONTH(I203)=C203-1, 0,7))</f>
        <v/>
      </c>
      <c r="K203" s="1">
        <f>7-J203</f>
        <v/>
      </c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>
        <v>56</v>
      </c>
      <c r="W203" s="26" t="n">
        <v>56</v>
      </c>
    </row>
    <row r="204">
      <c r="A204">
        <f>D204&amp;"-"&amp;RIGHT(E204,2)</f>
        <v/>
      </c>
      <c r="B204">
        <f>A204&amp;"|"&amp;F204</f>
        <v/>
      </c>
      <c r="C204" t="n">
        <v>11</v>
      </c>
      <c r="D204" t="inlineStr">
        <is>
          <t>Nov</t>
        </is>
      </c>
      <c r="E204" t="n">
        <v>2028</v>
      </c>
      <c r="F204" t="inlineStr">
        <is>
          <t>W3</t>
        </is>
      </c>
      <c r="G204" t="inlineStr">
        <is>
          <t>W46</t>
        </is>
      </c>
      <c r="H204" s="3">
        <f>I203+1</f>
        <v/>
      </c>
      <c r="I204" s="3">
        <f>H204+6</f>
        <v/>
      </c>
      <c r="J204" s="1">
        <f>IF(NOT(MONTH(H204)=MONTH(I204)),I204-DATE(E204,C204,1)+1,
IF(MONTH(I204)=C204-1, 0,7))</f>
        <v/>
      </c>
      <c r="K204" s="1">
        <f>7-J204</f>
        <v/>
      </c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>
        <v>56</v>
      </c>
      <c r="W204" s="26" t="n">
        <v>56</v>
      </c>
    </row>
    <row r="205">
      <c r="A205">
        <f>D205&amp;"-"&amp;RIGHT(E205,2)</f>
        <v/>
      </c>
      <c r="B205">
        <f>A205&amp;"|"&amp;F205</f>
        <v/>
      </c>
      <c r="C205" t="n">
        <v>11</v>
      </c>
      <c r="D205" t="inlineStr">
        <is>
          <t>Nov</t>
        </is>
      </c>
      <c r="E205" t="n">
        <v>2028</v>
      </c>
      <c r="F205" t="inlineStr">
        <is>
          <t>W4</t>
        </is>
      </c>
      <c r="G205" t="inlineStr">
        <is>
          <t>W47</t>
        </is>
      </c>
      <c r="H205" s="3">
        <f>I204+1</f>
        <v/>
      </c>
      <c r="I205" s="3">
        <f>H205+6</f>
        <v/>
      </c>
      <c r="J205" s="1">
        <f>IF(NOT(MONTH(H205)=MONTH(I205)),I205-DATE(E205,C205,1)+1,
IF(MONTH(I205)=C205-1, 0,7))</f>
        <v/>
      </c>
      <c r="K205" s="1">
        <f>7-J205</f>
        <v/>
      </c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>
        <v>56</v>
      </c>
      <c r="W205" s="26" t="n">
        <v>56</v>
      </c>
    </row>
    <row r="206">
      <c r="A206">
        <f>D206&amp;"-"&amp;RIGHT(E206,2)</f>
        <v/>
      </c>
      <c r="B206">
        <f>A206&amp;"|"&amp;F206</f>
        <v/>
      </c>
      <c r="C206" t="n">
        <v>12</v>
      </c>
      <c r="D206" t="inlineStr">
        <is>
          <t>Dec</t>
        </is>
      </c>
      <c r="E206" t="n">
        <v>2028</v>
      </c>
      <c r="F206" t="inlineStr">
        <is>
          <t>W1</t>
        </is>
      </c>
      <c r="G206" t="inlineStr">
        <is>
          <t>W48</t>
        </is>
      </c>
      <c r="H206" s="3">
        <f>I205+1</f>
        <v/>
      </c>
      <c r="I206" s="3">
        <f>H206+6</f>
        <v/>
      </c>
      <c r="J206" s="1">
        <f>IF(NOT(MONTH(H206)=MONTH(I206)),I206-DATE(E206,C206,1)+1,
IF(MONTH(I206)=C206-1, 0,7))</f>
        <v/>
      </c>
      <c r="K206" s="1">
        <f>7-J206</f>
        <v/>
      </c>
      <c r="L206" s="26" t="n"/>
      <c r="M206" s="26" t="n"/>
      <c r="N206" s="26" t="n"/>
      <c r="O206" s="26" t="n"/>
      <c r="P206" s="26" t="n"/>
      <c r="Q206" s="26" t="n"/>
      <c r="R206" s="26" t="n"/>
      <c r="S206" s="26" t="n"/>
      <c r="T206" s="26" t="n"/>
      <c r="U206" s="26" t="n"/>
      <c r="V206" s="26" t="n">
        <v>56</v>
      </c>
      <c r="W206" s="26" t="n">
        <v>56</v>
      </c>
    </row>
    <row r="207">
      <c r="A207">
        <f>D207&amp;"-"&amp;RIGHT(E207,2)</f>
        <v/>
      </c>
      <c r="B207">
        <f>A207&amp;"|"&amp;F207</f>
        <v/>
      </c>
      <c r="C207" t="n">
        <v>12</v>
      </c>
      <c r="D207" t="inlineStr">
        <is>
          <t>Dec</t>
        </is>
      </c>
      <c r="E207" t="n">
        <v>2028</v>
      </c>
      <c r="F207" t="inlineStr">
        <is>
          <t>W2</t>
        </is>
      </c>
      <c r="G207" t="inlineStr">
        <is>
          <t>W49</t>
        </is>
      </c>
      <c r="H207" s="3">
        <f>I206+1</f>
        <v/>
      </c>
      <c r="I207" s="3">
        <f>H207+6</f>
        <v/>
      </c>
      <c r="J207" s="1">
        <f>IF(NOT(MONTH(H207)=MONTH(I207)),I207-DATE(E207,C207,1)+1,
IF(MONTH(I207)=C207-1, 0,7))</f>
        <v/>
      </c>
      <c r="K207" s="1">
        <f>7-J207</f>
        <v/>
      </c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n"/>
      <c r="U207" s="26" t="n"/>
      <c r="V207" s="26" t="n">
        <v>56</v>
      </c>
      <c r="W207" s="26" t="n">
        <v>56</v>
      </c>
    </row>
    <row r="208">
      <c r="A208">
        <f>D208&amp;"-"&amp;RIGHT(E208,2)</f>
        <v/>
      </c>
      <c r="B208">
        <f>A208&amp;"|"&amp;F208</f>
        <v/>
      </c>
      <c r="C208" t="n">
        <v>12</v>
      </c>
      <c r="D208" t="inlineStr">
        <is>
          <t>Dec</t>
        </is>
      </c>
      <c r="E208" t="n">
        <v>2028</v>
      </c>
      <c r="F208" t="inlineStr">
        <is>
          <t>W3</t>
        </is>
      </c>
      <c r="G208" t="inlineStr">
        <is>
          <t>W50</t>
        </is>
      </c>
      <c r="H208" s="3">
        <f>I207+1</f>
        <v/>
      </c>
      <c r="I208" s="3">
        <f>H208+6</f>
        <v/>
      </c>
      <c r="J208" s="1">
        <f>IF(NOT(MONTH(H208)=MONTH(I208)),I208-DATE(E208,C208,1)+1,
    IF(MONTH(I208)=C208-1, 0,7))</f>
        <v/>
      </c>
      <c r="K208" s="1">
        <f>7-J208</f>
        <v/>
      </c>
      <c r="L208" s="26" t="n"/>
      <c r="M208" s="26" t="n"/>
      <c r="N208" s="26" t="n"/>
      <c r="O208" s="26" t="n"/>
      <c r="P208" s="26" t="n"/>
      <c r="Q208" s="26" t="n"/>
      <c r="R208" s="26" t="n"/>
      <c r="S208" s="26" t="n"/>
      <c r="T208" s="26" t="n"/>
      <c r="U208" s="26" t="n"/>
      <c r="V208" s="26" t="n">
        <v>56</v>
      </c>
      <c r="W208" s="26" t="n">
        <v>56</v>
      </c>
    </row>
    <row r="209">
      <c r="A209">
        <f>D209&amp;"-"&amp;RIGHT(E209,2)</f>
        <v/>
      </c>
      <c r="B209">
        <f>A209&amp;"|"&amp;F209</f>
        <v/>
      </c>
      <c r="C209" t="n">
        <v>12</v>
      </c>
      <c r="D209" t="inlineStr">
        <is>
          <t>Dec</t>
        </is>
      </c>
      <c r="E209" t="n">
        <v>2028</v>
      </c>
      <c r="F209" t="inlineStr">
        <is>
          <t>W4</t>
        </is>
      </c>
      <c r="G209" t="inlineStr">
        <is>
          <t>W51</t>
        </is>
      </c>
      <c r="H209" s="3">
        <f>I208+1</f>
        <v/>
      </c>
      <c r="I209" s="3">
        <f>H209+6</f>
        <v/>
      </c>
      <c r="J209" s="1">
        <f>IF(NOT(MONTH(H209)=MONTH(I209)),I209-DATE(E209,C209,1)+1,
    IF(MONTH(I209)=C209-1, 0,7))</f>
        <v/>
      </c>
      <c r="K209" s="1">
        <f>7-J209</f>
        <v/>
      </c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n"/>
      <c r="U209" s="26" t="n"/>
      <c r="V209" s="26" t="n">
        <v>56</v>
      </c>
      <c r="W209" s="26" t="n">
        <v>56</v>
      </c>
    </row>
    <row r="210">
      <c r="A210">
        <f>D210&amp;"-"&amp;RIGHT(E210,2)</f>
        <v/>
      </c>
      <c r="B210">
        <f>A210&amp;"|"&amp;F210</f>
        <v/>
      </c>
      <c r="C210" t="n">
        <v>12</v>
      </c>
      <c r="D210" t="inlineStr">
        <is>
          <t>Dec</t>
        </is>
      </c>
      <c r="E210" t="n">
        <v>2028</v>
      </c>
      <c r="F210" t="inlineStr">
        <is>
          <t>W5</t>
        </is>
      </c>
      <c r="G210" t="inlineStr">
        <is>
          <t>W52</t>
        </is>
      </c>
      <c r="H210" s="3">
        <f>I209+1</f>
        <v/>
      </c>
      <c r="I210" s="3">
        <f>H210+6</f>
        <v/>
      </c>
      <c r="J210" s="1">
        <f>IF(NOT(MONTH(H210)=MONTH(I210)),I210-DATE(E210,C210,1)+1,
    IF(MONTH(I210)=C210-1, 0,7))</f>
        <v/>
      </c>
      <c r="K210" s="1">
        <f>7-J210</f>
        <v/>
      </c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n"/>
      <c r="U210" s="26" t="n"/>
      <c r="V210" s="26" t="n">
        <v>56</v>
      </c>
      <c r="W210" s="26" t="n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Dhruwanshi, Abhishek</dc:creator>
  <dcterms:created xsi:type="dcterms:W3CDTF">2015-06-05T18:17:20Z</dcterms:created>
  <dcterms:modified xsi:type="dcterms:W3CDTF">2026-09-05T20:05:34Z</dcterms:modified>
  <cp:lastModifiedBy>akshay nangalia</cp:lastModifiedBy>
</cp:coreProperties>
</file>